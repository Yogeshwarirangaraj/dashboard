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https://duckcreek-my.sharepoint.com/personal/yogeshwari_rangaraj_duckcreek_com/Documents/Desktop/"/>
    </mc:Choice>
  </mc:AlternateContent>
  <xr:revisionPtr revIDLastSave="241" documentId="8_{7EF1ADF9-8BF3-4A03-9179-4367396241A2}" xr6:coauthVersionLast="47" xr6:coauthVersionMax="47" xr10:uidLastSave="{15A0AE21-E125-473B-AB30-875CCCF7269E}"/>
  <bookViews>
    <workbookView xWindow="-110" yWindow="-110" windowWidth="19420" windowHeight="11500" firstSheet="7" activeTab="8" xr2:uid="{00000000-000D-0000-FFFF-FFFF00000000}"/>
  </bookViews>
  <sheets>
    <sheet name="Recruiter Productivity" sheetId="1" state="hidden" r:id="rId1"/>
    <sheet name="Nov 10th to Nov 25" sheetId="6" r:id="rId2"/>
    <sheet name="Nov 25th to Dec 10th" sheetId="5" r:id="rId3"/>
    <sheet name="Dec 10th to 6th Jan 2026" sheetId="7" state="hidden" r:id="rId4"/>
    <sheet name="Dec 10th to Jan 13th" sheetId="8" r:id="rId5"/>
    <sheet name="Jan 13th to Feb 12th" sheetId="9" r:id="rId6"/>
    <sheet name="Jan 13th to 19th Feb" sheetId="10" r:id="rId7"/>
    <sheet name="Feb 19th to 25th March" sheetId="11" r:id="rId8"/>
    <sheet name="Executive Dashboard" sheetId="12" r:id="rId9"/>
  </sheets>
  <definedNames>
    <definedName name="_xlnm._FilterDatabase" localSheetId="2" hidden="1">'Nov 25th to Dec 10th'!$A$2:$B$2</definedName>
  </definedNames>
  <calcPr calcId="191028"/>
  <pivotCaches>
    <pivotCache cacheId="7" r:id="rId10"/>
    <pivotCache cacheId="8" r:id="rId11"/>
    <pivotCache cacheId="9" r:id="rId12"/>
    <pivotCache cacheId="10" r:id="rId1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3" i="12" l="1" a="1"/>
  <c r="A13" i="12" s="1"/>
  <c r="K13" i="12"/>
  <c r="K12" i="12"/>
  <c r="K11" i="12"/>
  <c r="K8" i="12"/>
  <c r="K7" i="12"/>
  <c r="K6" i="12"/>
  <c r="K5" i="12"/>
  <c r="K4" i="12"/>
  <c r="K3" i="12"/>
  <c r="D24" i="8"/>
  <c r="D17" i="8"/>
  <c r="D25" i="8" s="1"/>
  <c r="H35" i="5"/>
  <c r="B13" i="5"/>
  <c r="E50"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<sst xmlns="http://schemas.openxmlformats.org/spreadsheetml/2006/main" count="1140" uniqueCount="435">
  <si>
    <t>Recruiter Productivity Tracker (Week-wise)</t>
  </si>
  <si>
    <t>Week</t>
  </si>
  <si>
    <t>Recruiter Name</t>
  </si>
  <si>
    <t>Reqs (Hiring Activities) - Hours</t>
  </si>
  <si>
    <t>Strategic Initiatives - Hours</t>
  </si>
  <si>
    <t>Process Optimization - Hours</t>
  </si>
  <si>
    <t>AI Learning - Hours</t>
  </si>
  <si>
    <t>Total Hours</t>
  </si>
  <si>
    <t>% Reqs</t>
  </si>
  <si>
    <t>% Strategic</t>
  </si>
  <si>
    <t>% Process</t>
  </si>
  <si>
    <t>% AI Learning</t>
  </si>
  <si>
    <t>Week 1</t>
  </si>
  <si>
    <t>Recruiter 1</t>
  </si>
  <si>
    <t>Recruiter 2</t>
  </si>
  <si>
    <t>Recruiter 3</t>
  </si>
  <si>
    <t>Recruiter 4</t>
  </si>
  <si>
    <t>Recruiter 5</t>
  </si>
  <si>
    <t>Week 2</t>
  </si>
  <si>
    <t>Week 3</t>
  </si>
  <si>
    <t>Week 4</t>
  </si>
  <si>
    <t>Req allocation current trend</t>
  </si>
  <si>
    <t>Candidates in Offer / Ready to hire stage</t>
  </si>
  <si>
    <t>Roles where candidates are to be identified</t>
  </si>
  <si>
    <t>* 3 reqs not on Workday</t>
  </si>
  <si>
    <t>Australia Hiring</t>
  </si>
  <si>
    <t>Recruiters</t>
  </si>
  <si>
    <t>Count</t>
  </si>
  <si>
    <t>CC</t>
  </si>
  <si>
    <t>Every team member will work on a requisition in Australia.</t>
  </si>
  <si>
    <t>Diksha Pradhan (12759)</t>
  </si>
  <si>
    <t>130 Human Resources</t>
  </si>
  <si>
    <t>150 Information Technology</t>
  </si>
  <si>
    <t>Knowledge Transfer (KT) session on hiring in Australia conducted last week.</t>
  </si>
  <si>
    <t>Diksha Pradhan (12759)
Reenu Sura (12333)</t>
  </si>
  <si>
    <t>152 Data Enterprise Analytics</t>
  </si>
  <si>
    <t>151 Security Team</t>
  </si>
  <si>
    <t>Candidate Engagement</t>
  </si>
  <si>
    <t>Dushyant Devlekar (11945)</t>
  </si>
  <si>
    <t>400 Professional Services</t>
  </si>
  <si>
    <t>Launched a new newsletter for candidates yet to join.</t>
  </si>
  <si>
    <t>Jaya Joshi (13426)</t>
  </si>
  <si>
    <t>481 CS Engineering</t>
  </si>
  <si>
    <t>Post-offer connect calls strengthened and made mandatory for candidates with a 90-day notice period to meet business teams.</t>
  </si>
  <si>
    <t>Reenu Sura (12333)</t>
  </si>
  <si>
    <t>482 Application Support</t>
  </si>
  <si>
    <t>480 OnDemand SaaS Operations</t>
  </si>
  <si>
    <r>
      <t>Meet the PS Leader</t>
    </r>
    <r>
      <rPr>
        <sz val="11"/>
        <color theme="1"/>
        <rFont val="Calibri"/>
        <family val="2"/>
        <scheme val="minor"/>
      </rPr>
      <t xml:space="preserve"> sessions introduced to launch the post-offer connect strategy and identify leaders to host these connect calls.</t>
    </r>
  </si>
  <si>
    <t>Yogeshwari Rangaraj (14271)</t>
  </si>
  <si>
    <t>551 Engineering Grow</t>
  </si>
  <si>
    <r>
      <t xml:space="preserve">Multiple connect calls for </t>
    </r>
    <r>
      <rPr>
        <b/>
        <sz val="11"/>
        <color theme="1"/>
        <rFont val="Calibri"/>
        <family val="2"/>
        <scheme val="minor"/>
      </rPr>
      <t>TAP hires with business leaders</t>
    </r>
    <r>
      <rPr>
        <sz val="11"/>
        <color theme="1"/>
        <rFont val="Calibri"/>
        <family val="2"/>
        <scheme val="minor"/>
      </rPr>
      <t xml:space="preserve"> to ensure a seamless onboarding experience.</t>
    </r>
  </si>
  <si>
    <t>Grand Total</t>
  </si>
  <si>
    <t>Other Initiatives</t>
  </si>
  <si>
    <t>Process Discussions</t>
  </si>
  <si>
    <t>Offers Rolled out Sep onwards</t>
  </si>
  <si>
    <t>Metrics - Sep onwards</t>
  </si>
  <si>
    <r>
      <t xml:space="preserve">Talent Acquisition process discussed across </t>
    </r>
    <r>
      <rPr>
        <b/>
        <sz val="11"/>
        <color theme="1"/>
        <rFont val="Calibri"/>
        <family val="2"/>
        <scheme val="minor"/>
      </rPr>
      <t>5 calls</t>
    </r>
    <r>
      <rPr>
        <sz val="11"/>
        <color theme="1"/>
        <rFont val="Calibri"/>
        <family val="2"/>
        <scheme val="minor"/>
      </rPr>
      <t>.</t>
    </r>
  </si>
  <si>
    <t>Row Labels</t>
  </si>
  <si>
    <t>Time to offer</t>
  </si>
  <si>
    <t>58 days</t>
  </si>
  <si>
    <t>AI &amp; Learning</t>
  </si>
  <si>
    <t>Time to fill</t>
  </si>
  <si>
    <t>129 days</t>
  </si>
  <si>
    <t>Reqs to be approved - Visibility</t>
  </si>
  <si>
    <t>Team members researching the use of AI tools.</t>
  </si>
  <si>
    <t>Diversity offers</t>
  </si>
  <si>
    <t>CS</t>
  </si>
  <si>
    <r>
      <t xml:space="preserve">AI training planned </t>
    </r>
    <r>
      <rPr>
        <b/>
        <sz val="11"/>
        <color theme="1"/>
        <rFont val="Calibri"/>
        <family val="2"/>
        <scheme val="minor"/>
      </rPr>
      <t>once per quarter</t>
    </r>
    <r>
      <rPr>
        <sz val="11"/>
        <color theme="1"/>
        <rFont val="Calibri"/>
        <family val="2"/>
        <scheme val="minor"/>
      </rPr>
      <t xml:space="preserve"> through any learning platform.</t>
    </r>
  </si>
  <si>
    <t>Offer Decline trend</t>
  </si>
  <si>
    <t>P&amp;T</t>
  </si>
  <si>
    <t>Number of joiners</t>
  </si>
  <si>
    <t>17*</t>
  </si>
  <si>
    <t>IT Support</t>
  </si>
  <si>
    <t>Pre - sales (Malaysia)</t>
  </si>
  <si>
    <t xml:space="preserve">Other regions </t>
  </si>
  <si>
    <t>CC Manager</t>
  </si>
  <si>
    <t>Location</t>
  </si>
  <si>
    <t>Focus Areas</t>
  </si>
  <si>
    <t>Senior Sales Director</t>
  </si>
  <si>
    <t>Christian</t>
  </si>
  <si>
    <t>Singapore</t>
  </si>
  <si>
    <t>Area</t>
  </si>
  <si>
    <t>Description</t>
  </si>
  <si>
    <t>Avg % of time</t>
  </si>
  <si>
    <t>Senior Project Manager</t>
  </si>
  <si>
    <t>Tex</t>
  </si>
  <si>
    <t>Australia</t>
  </si>
  <si>
    <t>REQ Overview</t>
  </si>
  <si>
    <t>Sourcing, screening, scheduling, follow-ups</t>
  </si>
  <si>
    <t>BA</t>
  </si>
  <si>
    <t>Strategic Initiatives</t>
  </si>
  <si>
    <t>1:1 connects, post-offer calls, newsletters, goals</t>
  </si>
  <si>
    <t>Application Support Manager</t>
  </si>
  <si>
    <t>Jeff</t>
  </si>
  <si>
    <t>Process Optimization</t>
  </si>
  <si>
    <t>Workday updates, tracker, interview/assessment follow-ups</t>
  </si>
  <si>
    <t>Sr. Site Reliability Engineer</t>
  </si>
  <si>
    <t>Training</t>
  </si>
  <si>
    <t>AI learning, knowledge sharing,Australia hiring</t>
  </si>
  <si>
    <t>Database Administrator</t>
  </si>
  <si>
    <t>Escalation management, branding, team calls, special connects</t>
  </si>
  <si>
    <t>Infrastructure Operations Engineer II</t>
  </si>
  <si>
    <t>Incident/Problem Manager</t>
  </si>
  <si>
    <t>Req Allocation Current Trend</t>
  </si>
  <si>
    <t>Candidates in Latest Recruiting Stage</t>
  </si>
  <si>
    <t>Reqs currently based on CC</t>
  </si>
  <si>
    <t>Stage</t>
  </si>
  <si>
    <t>Recruiter</t>
  </si>
  <si>
    <t>Assessment</t>
  </si>
  <si>
    <t>100 Executive</t>
  </si>
  <si>
    <t>Background Check</t>
  </si>
  <si>
    <t>101 Corporate Development</t>
  </si>
  <si>
    <t>Hari Thammineedi (12246)</t>
  </si>
  <si>
    <t>Interview</t>
  </si>
  <si>
    <t>110 Finance</t>
  </si>
  <si>
    <t>Hari Thammineedi (12246)
Holly Solomon (13236)</t>
  </si>
  <si>
    <t>Offer</t>
  </si>
  <si>
    <t>Holly Solomon (13236)</t>
  </si>
  <si>
    <t>Pending HM Details</t>
  </si>
  <si>
    <t>Holly Solomon (13236)
Reenu Sura (12333)</t>
  </si>
  <si>
    <t>Ready for Hire</t>
  </si>
  <si>
    <t>Review</t>
  </si>
  <si>
    <t>Neura Da Rosa (11405)</t>
  </si>
  <si>
    <t>Screen</t>
  </si>
  <si>
    <t>200 Sales</t>
  </si>
  <si>
    <t>250 Pre Sales</t>
  </si>
  <si>
    <t>Current Open reqs - Region Wise</t>
  </si>
  <si>
    <t>Country</t>
  </si>
  <si>
    <t>APAC</t>
  </si>
  <si>
    <t>TA Metrics - Global - Sep Onwards</t>
  </si>
  <si>
    <t>500 Product Management</t>
  </si>
  <si>
    <t>India</t>
  </si>
  <si>
    <t>Time To Offer</t>
  </si>
  <si>
    <t>Time To fill</t>
  </si>
  <si>
    <t>No of Joiners</t>
  </si>
  <si>
    <t>NON APAC</t>
  </si>
  <si>
    <t>Canada</t>
  </si>
  <si>
    <t>France</t>
  </si>
  <si>
    <t>Poland</t>
  </si>
  <si>
    <t>United Kingdom</t>
  </si>
  <si>
    <t>United States of America</t>
  </si>
  <si>
    <t>Total</t>
  </si>
  <si>
    <t>Count of Job Profile</t>
  </si>
  <si>
    <t>EE Step Order</t>
  </si>
  <si>
    <t>2026 - Q1</t>
  </si>
  <si>
    <t>2026 - Q2</t>
  </si>
  <si>
    <t>Job Profile</t>
  </si>
  <si>
    <t>1. Candidates Applied</t>
  </si>
  <si>
    <t>7303 - Director – Software Engineering</t>
  </si>
  <si>
    <t>2a. Assessment Requested (Incomplete)</t>
  </si>
  <si>
    <t>7311 - Director - Software Architecture</t>
  </si>
  <si>
    <t>2b. Assessment Requested (Completed)</t>
  </si>
  <si>
    <t>7482 - Vice President - Professional Services MGT</t>
  </si>
  <si>
    <t>3. Recommended</t>
  </si>
  <si>
    <t>7530 - Senior Director (MGMT) – Services Project Management</t>
  </si>
  <si>
    <t>4. HM Interview</t>
  </si>
  <si>
    <t>7702 - Senior Director - Sales</t>
  </si>
  <si>
    <t>8005 - Director (MGMT) - Global Fusion</t>
  </si>
  <si>
    <t>8053 - SVP (MGMT) - Corporate Development</t>
  </si>
  <si>
    <r>
      <t>Only 2.34%</t>
    </r>
    <r>
      <rPr>
        <sz val="11"/>
        <color theme="1"/>
        <rFont val="Calibri"/>
        <family val="2"/>
        <scheme val="minor"/>
      </rPr>
      <t xml:space="preserve"> of total applicants were moved to the </t>
    </r>
    <r>
      <rPr>
        <b/>
        <sz val="11"/>
        <color theme="1"/>
        <rFont val="Calibri"/>
        <family val="2"/>
        <scheme val="minor"/>
      </rPr>
      <t>assessment stage</t>
    </r>
    <r>
      <rPr>
        <sz val="11"/>
        <color theme="1"/>
        <rFont val="Calibri"/>
        <family val="2"/>
        <scheme val="minor"/>
      </rPr>
      <t>.</t>
    </r>
  </si>
  <si>
    <t>8060 - EVP (MGMT) - Chief Product Officer</t>
  </si>
  <si>
    <r>
      <t xml:space="preserve">Of those assessed, </t>
    </r>
    <r>
      <rPr>
        <b/>
        <sz val="11"/>
        <color theme="1"/>
        <rFont val="Calibri"/>
        <family val="2"/>
        <scheme val="minor"/>
      </rPr>
      <t>52.5%</t>
    </r>
    <r>
      <rPr>
        <sz val="11"/>
        <color theme="1"/>
        <rFont val="Calibri"/>
        <family val="2"/>
        <scheme val="minor"/>
      </rPr>
      <t xml:space="preserve"> received a </t>
    </r>
    <r>
      <rPr>
        <b/>
        <sz val="11"/>
        <color theme="1"/>
        <rFont val="Calibri"/>
        <family val="2"/>
        <scheme val="minor"/>
      </rPr>
      <t>“Recommended”</t>
    </r>
    <r>
      <rPr>
        <sz val="11"/>
        <color theme="1"/>
        <rFont val="Calibri"/>
        <family val="2"/>
        <scheme val="minor"/>
      </rPr>
      <t xml:space="preserve"> outcome.</t>
    </r>
  </si>
  <si>
    <r>
      <t>94%</t>
    </r>
    <r>
      <rPr>
        <sz val="11"/>
        <color theme="1"/>
        <rFont val="Calibri"/>
        <family val="2"/>
        <scheme val="minor"/>
      </rPr>
      <t xml:space="preserve"> of recommended candidates </t>
    </r>
    <r>
      <rPr>
        <b/>
        <sz val="11"/>
        <color theme="1"/>
        <rFont val="Calibri"/>
        <family val="2"/>
        <scheme val="minor"/>
      </rPr>
      <t>attended interviews</t>
    </r>
    <r>
      <rPr>
        <sz val="11"/>
        <color theme="1"/>
        <rFont val="Calibri"/>
        <family val="2"/>
        <scheme val="minor"/>
      </rPr>
      <t>, showing strong engagement.</t>
    </r>
  </si>
  <si>
    <r>
      <t xml:space="preserve">Approximately </t>
    </r>
    <r>
      <rPr>
        <b/>
        <sz val="11"/>
        <color theme="1"/>
        <rFont val="Calibri"/>
        <family val="2"/>
        <scheme val="minor"/>
      </rPr>
      <t>18.34%</t>
    </r>
    <r>
      <rPr>
        <sz val="11"/>
        <color theme="1"/>
        <rFont val="Calibri"/>
        <family val="2"/>
        <scheme val="minor"/>
      </rPr>
      <t xml:space="preserve"> of interviewed candidates were </t>
    </r>
    <r>
      <rPr>
        <b/>
        <sz val="11"/>
        <color theme="1"/>
        <rFont val="Calibri"/>
        <family val="2"/>
        <scheme val="minor"/>
      </rPr>
      <t>converted to offers</t>
    </r>
  </si>
  <si>
    <t>Reqs to be approved Cost Center wise</t>
  </si>
  <si>
    <t>Reqs to be approved location Wise</t>
  </si>
  <si>
    <t>20% has not taken up the assessment</t>
  </si>
  <si>
    <t>Cost Center</t>
  </si>
  <si>
    <t>100 Summer Street, Boston office</t>
  </si>
  <si>
    <t>Remote India</t>
  </si>
  <si>
    <t>Remote Belgium</t>
  </si>
  <si>
    <t>180 Facilities</t>
  </si>
  <si>
    <t>Remote CA</t>
  </si>
  <si>
    <t>240 Sales Operations</t>
  </si>
  <si>
    <t>Remote Poland</t>
  </si>
  <si>
    <t>Remote US</t>
  </si>
  <si>
    <t>300 Marketing</t>
  </si>
  <si>
    <t>Sydney Office</t>
  </si>
  <si>
    <t>475 CS Management, OnDemand CSMs and Onboarding</t>
  </si>
  <si>
    <t>(blank)</t>
  </si>
  <si>
    <t>Other Highlights</t>
  </si>
  <si>
    <t>Upcoming</t>
  </si>
  <si>
    <r>
      <t xml:space="preserve">Conducted an internal knowledge-sharing session on </t>
    </r>
    <r>
      <rPr>
        <b/>
        <sz val="11"/>
        <color theme="1"/>
        <rFont val="Calibri"/>
        <family val="2"/>
        <scheme val="minor"/>
      </rPr>
      <t>using AI Search on LinkedIn</t>
    </r>
    <r>
      <rPr>
        <sz val="11"/>
        <color theme="1"/>
        <rFont val="Calibri"/>
        <family val="2"/>
        <scheme val="minor"/>
      </rPr>
      <t xml:space="preserve">, led by </t>
    </r>
    <r>
      <rPr>
        <b/>
        <sz val="11"/>
        <color theme="1"/>
        <rFont val="Calibri"/>
        <family val="2"/>
        <scheme val="minor"/>
      </rPr>
      <t>Reenu</t>
    </r>
    <r>
      <rPr>
        <sz val="11"/>
        <color theme="1"/>
        <rFont val="Calibri"/>
        <family val="2"/>
        <scheme val="minor"/>
      </rPr>
      <t>.</t>
    </r>
  </si>
  <si>
    <t>To schedule a call with Hari &amp; Holly - to give a brief on how to use questionnaire in Workday</t>
  </si>
  <si>
    <r>
      <t xml:space="preserve">Attended the </t>
    </r>
    <r>
      <rPr>
        <b/>
        <sz val="11"/>
        <color theme="1"/>
        <rFont val="Calibri"/>
        <family val="2"/>
        <scheme val="minor"/>
      </rPr>
      <t>Pay Transparency – Australia</t>
    </r>
    <r>
      <rPr>
        <sz val="11"/>
        <color theme="1"/>
        <rFont val="Calibri"/>
        <family val="2"/>
        <scheme val="minor"/>
      </rPr>
      <t xml:space="preserve"> webinar; key takeaways and reference materials were shared internally (</t>
    </r>
    <r>
      <rPr>
        <b/>
        <sz val="11"/>
        <color theme="1"/>
        <rFont val="Calibri"/>
        <family val="2"/>
        <scheme val="minor"/>
      </rPr>
      <t>Yogi</t>
    </r>
    <r>
      <rPr>
        <sz val="11"/>
        <color theme="1"/>
        <rFont val="Calibri"/>
        <family val="2"/>
        <scheme val="minor"/>
      </rPr>
      <t>).</t>
    </r>
  </si>
  <si>
    <t>To colloboreate with Hari &amp; Holly - Criteria Assessment mapping</t>
  </si>
  <si>
    <r>
      <t xml:space="preserve">Participated in the </t>
    </r>
    <r>
      <rPr>
        <b/>
        <sz val="11"/>
        <color theme="1"/>
        <rFont val="Calibri"/>
        <family val="2"/>
        <scheme val="minor"/>
      </rPr>
      <t>“AI + Human Power Couple”</t>
    </r>
    <r>
      <rPr>
        <sz val="11"/>
        <color theme="1"/>
        <rFont val="Calibri"/>
        <family val="2"/>
        <scheme val="minor"/>
      </rPr>
      <t xml:space="preserve"> webinar, with </t>
    </r>
    <r>
      <rPr>
        <b/>
        <sz val="11"/>
        <color theme="1"/>
        <rFont val="Calibri"/>
        <family val="2"/>
        <scheme val="minor"/>
      </rPr>
      <t>Reenu</t>
    </r>
    <r>
      <rPr>
        <sz val="11"/>
        <color theme="1"/>
        <rFont val="Calibri"/>
        <family val="2"/>
        <scheme val="minor"/>
      </rPr>
      <t xml:space="preserve"> sharing insights and notes with the team.</t>
    </r>
  </si>
  <si>
    <r>
      <t>Reenu, Dushyant, and Jaya</t>
    </r>
    <r>
      <rPr>
        <sz val="11"/>
        <color theme="1"/>
        <rFont val="Calibri"/>
        <family val="2"/>
        <scheme val="minor"/>
      </rPr>
      <t xml:space="preserve"> completed preliminary research on </t>
    </r>
    <r>
      <rPr>
        <b/>
        <sz val="11"/>
        <color theme="1"/>
        <rFont val="Calibri"/>
        <family val="2"/>
        <scheme val="minor"/>
      </rPr>
      <t>AI tools</t>
    </r>
    <r>
      <rPr>
        <sz val="11"/>
        <color theme="1"/>
        <rFont val="Calibri"/>
        <family val="2"/>
        <scheme val="minor"/>
      </rPr>
      <t xml:space="preserve"> that can support Talent Acquisition.</t>
    </r>
  </si>
  <si>
    <r>
      <t xml:space="preserve">Successfully completed the </t>
    </r>
    <r>
      <rPr>
        <b/>
        <sz val="11"/>
        <color theme="1"/>
        <rFont val="Calibri"/>
        <family val="2"/>
        <scheme val="minor"/>
      </rPr>
      <t>TA Process Documentation</t>
    </r>
    <r>
      <rPr>
        <sz val="11"/>
        <color theme="1"/>
        <rFont val="Calibri"/>
        <family val="2"/>
        <scheme val="minor"/>
      </rPr>
      <t xml:space="preserve"> Region specific.</t>
    </r>
  </si>
  <si>
    <r>
      <t xml:space="preserve">Delivered a </t>
    </r>
    <r>
      <rPr>
        <b/>
        <sz val="11"/>
        <color theme="1"/>
        <rFont val="Calibri"/>
        <family val="2"/>
        <scheme val="minor"/>
      </rPr>
      <t>Global Hiring Report</t>
    </r>
    <r>
      <rPr>
        <sz val="11"/>
        <color theme="1"/>
        <rFont val="Calibri"/>
        <family val="2"/>
        <scheme val="minor"/>
      </rPr>
      <t xml:space="preserve"> to </t>
    </r>
    <r>
      <rPr>
        <b/>
        <sz val="11"/>
        <color theme="1"/>
        <rFont val="Calibri"/>
        <family val="2"/>
        <scheme val="minor"/>
      </rPr>
      <t>Carissa</t>
    </r>
    <r>
      <rPr>
        <sz val="11"/>
        <color theme="1"/>
        <rFont val="Calibri"/>
        <family val="2"/>
        <scheme val="minor"/>
      </rPr>
      <t xml:space="preserve">, which was presented to our new CTO, </t>
    </r>
    <r>
      <rPr>
        <b/>
        <sz val="11"/>
        <color theme="1"/>
        <rFont val="Calibri"/>
        <family val="2"/>
        <scheme val="minor"/>
      </rPr>
      <t>Rajesh</t>
    </r>
    <r>
      <rPr>
        <sz val="11"/>
        <color theme="1"/>
        <rFont val="Calibri"/>
        <family val="2"/>
        <scheme val="minor"/>
      </rPr>
      <t>.</t>
    </r>
  </si>
  <si>
    <r>
      <t xml:space="preserve">Held sync-up discussions with </t>
    </r>
    <r>
      <rPr>
        <b/>
        <sz val="11"/>
        <color theme="1"/>
        <rFont val="Calibri"/>
        <family val="2"/>
        <scheme val="minor"/>
      </rPr>
      <t>Kapil &amp; Rahul (Australia)</t>
    </r>
    <r>
      <rPr>
        <sz val="11"/>
        <color theme="1"/>
        <rFont val="Calibri"/>
        <family val="2"/>
        <scheme val="minor"/>
      </rPr>
      <t xml:space="preserve"> to deepen understanding of the </t>
    </r>
    <r>
      <rPr>
        <b/>
        <sz val="11"/>
        <color theme="1"/>
        <rFont val="Calibri"/>
        <family val="2"/>
        <scheme val="minor"/>
      </rPr>
      <t>Australian market</t>
    </r>
    <r>
      <rPr>
        <sz val="11"/>
        <color theme="1"/>
        <rFont val="Calibri"/>
        <family val="2"/>
        <scheme val="minor"/>
      </rPr>
      <t xml:space="preserve"> and </t>
    </r>
    <r>
      <rPr>
        <b/>
        <sz val="11"/>
        <color theme="1"/>
        <rFont val="Calibri"/>
        <family val="2"/>
        <scheme val="minor"/>
      </rPr>
      <t>product availability</t>
    </r>
  </si>
  <si>
    <t>Diksha Pradhan (12759)
Dushyant Devlekar (11945)</t>
  </si>
  <si>
    <t>Candidates in Latest Recruiting stage</t>
  </si>
  <si>
    <t>Roles in offer stage/ Ready to hire</t>
  </si>
  <si>
    <t>Recruiter/ BU</t>
  </si>
  <si>
    <t>Reqs Open CC wise</t>
  </si>
  <si>
    <t>Location Split for open reqs</t>
  </si>
  <si>
    <t>Req Allocation Trend - Added Singapore req</t>
  </si>
  <si>
    <t>Only 2.10% of total applicants were moved to the assessment stage.</t>
  </si>
  <si>
    <t>(Assessment requested: 452 / Applicants: 21,526)</t>
  </si>
  <si>
    <t>Of those assessed (completed), 67.0% received a “Recommended” outcome.</t>
  </si>
  <si>
    <t>(Recommended: 246 / Assessment completed: 367)</t>
  </si>
  <si>
    <t>98.0% of recommended candidates attended interviews, showing strong engagement.</t>
  </si>
  <si>
    <t>(HM Interview: 241 / Recommended: 246)</t>
  </si>
  <si>
    <t>18.8% did not complete the assessment after it was requested.</t>
  </si>
  <si>
    <t>(Incomplete: 85 / (Incomplete + Completed: 452))</t>
  </si>
  <si>
    <t>No of joiners Sep onwards(bais workday)</t>
  </si>
  <si>
    <t>NON  APAC</t>
  </si>
  <si>
    <t xml:space="preserve">Recruiter </t>
  </si>
  <si>
    <t xml:space="preserve">Stage </t>
  </si>
  <si>
    <t>Reqs pending for approval</t>
  </si>
  <si>
    <t>Remote France</t>
  </si>
  <si>
    <t>7737 - Chief of Staff</t>
  </si>
  <si>
    <t>Leadership Roles</t>
  </si>
  <si>
    <t>Highlights</t>
  </si>
  <si>
    <t>Implemented AI-driven JD–CV matching, structured prompts, and keyword string generation.</t>
  </si>
  <si>
    <t>Enabled team usage of AI for screening, scoring, and candidate summaries.</t>
  </si>
  <si>
    <t xml:space="preserve">We had AI knowledge‑sharing sessions </t>
  </si>
  <si>
    <t>Immigration collaboration with Neura for a critical req.</t>
  </si>
  <si>
    <t>Check ins completed</t>
  </si>
  <si>
    <t>LinkedIn AI usage Globally looks strong</t>
  </si>
  <si>
    <r>
      <t xml:space="preserve">Reenu Demonstrated 50% → </t>
    </r>
    <r>
      <rPr>
        <b/>
        <sz val="12"/>
        <color theme="1"/>
        <rFont val="Calibri"/>
        <family val="2"/>
        <scheme val="minor"/>
      </rPr>
      <t>75% improvement</t>
    </r>
    <r>
      <rPr>
        <sz val="12"/>
        <color theme="1"/>
        <rFont val="Calibri"/>
        <family val="2"/>
        <scheme val="minor"/>
      </rPr>
      <t xml:space="preserve"> in shortlisting efficiency using DuckGPT.</t>
    </r>
  </si>
  <si>
    <t>Yogi undergoing AI in HR training</t>
  </si>
  <si>
    <t>https://criteriacorp.wistia.com/medias/r5mywfw878 - the team took this up with additional brainstorming sessions on identifying fake candidates</t>
  </si>
  <si>
    <t>TAP joiners - 0 Declines</t>
  </si>
  <si>
    <t>Summary</t>
  </si>
  <si>
    <t>count</t>
  </si>
  <si>
    <t xml:space="preserve">Location </t>
  </si>
  <si>
    <t>NON- APAC</t>
  </si>
  <si>
    <t>7722 - Director (MGMT) - Customer Success Engineering</t>
  </si>
  <si>
    <t>Belgium</t>
  </si>
  <si>
    <t>Country - Joined</t>
  </si>
  <si>
    <t>Overall</t>
  </si>
  <si>
    <t>Overall Joined</t>
  </si>
  <si>
    <t>Time to Fill</t>
  </si>
  <si>
    <t>Time to Offer</t>
  </si>
  <si>
    <t>Reqs to be approved</t>
  </si>
  <si>
    <t>Remote Mumbai</t>
  </si>
  <si>
    <t>Level</t>
  </si>
  <si>
    <t>APAC has 33 reqs and other regions put together we have 25 requistions</t>
  </si>
  <si>
    <r>
      <t>Interview stage dominates</t>
    </r>
    <r>
      <rPr>
        <sz val="11"/>
        <color theme="1"/>
        <rFont val="Calibri"/>
        <family val="2"/>
        <scheme val="minor"/>
      </rPr>
      <t xml:space="preserve"> the funnel, which is positive sign that there is progress</t>
    </r>
  </si>
  <si>
    <t>16 TAP joiners with Zero declines for APAC</t>
  </si>
  <si>
    <t>Only 2.10% of applicants (452 out of 21,526) were moved forward to the assessment stage.</t>
  </si>
  <si>
    <t>18.8% of candidates who were invited did not complete the assessment.</t>
  </si>
  <si>
    <r>
      <t>India leads significantly</t>
    </r>
    <r>
      <rPr>
        <sz val="11"/>
        <color theme="1"/>
        <rFont val="Calibri"/>
        <family val="2"/>
        <scheme val="minor"/>
      </rPr>
      <t>, accounting for more than half (57%) of all new joiners and about 30% in US and the rest in other geographies</t>
    </r>
  </si>
  <si>
    <t>US accounts 70% of the leadership hiring currently - out of 10 roles 7 are in US and 20% in India</t>
  </si>
  <si>
    <t>Open Reqs</t>
  </si>
  <si>
    <t>Of all the open reqs- 28% of the open requisitions (551 Engineering Grow) + App Support</t>
  </si>
  <si>
    <r>
      <t xml:space="preserve">Reenu Demonstrated 50% → </t>
    </r>
    <r>
      <rPr>
        <b/>
        <sz val="11"/>
        <color theme="1"/>
        <rFont val="Calibri"/>
        <family val="2"/>
        <scheme val="minor"/>
      </rPr>
      <t>75% improvement</t>
    </r>
    <r>
      <rPr>
        <sz val="11"/>
        <color theme="1"/>
        <rFont val="Calibri"/>
        <family val="2"/>
        <scheme val="minor"/>
      </rPr>
      <t xml:space="preserve"> in shortlisting efficiency using DuckGPT.</t>
    </r>
  </si>
  <si>
    <t>https://criteriacorp.wistia.com/medias/r5mywfw878 - the team took this up with additional brainstor…</t>
  </si>
  <si>
    <t>Total Open Requisitions: 74 and we have candidates identified for 17 requisitions</t>
  </si>
  <si>
    <t>7561 - VP (MGMT) - Sales</t>
  </si>
  <si>
    <t>7855 - Vice President (MGMT) - Product Marketing</t>
  </si>
  <si>
    <t>8074 - VP (MGMT) - Application Support</t>
  </si>
  <si>
    <t>8076 - Senior Director (MGMT) - Services GTM</t>
  </si>
  <si>
    <t>440 Educational Services</t>
  </si>
  <si>
    <t>Count Distinct of LRV Job Application</t>
  </si>
  <si>
    <t>Reqs pending for Approval</t>
  </si>
  <si>
    <t>Remote Canada</t>
  </si>
  <si>
    <t>Location and CC</t>
  </si>
  <si>
    <r>
      <t xml:space="preserve">Only </t>
    </r>
    <r>
      <rPr>
        <b/>
        <sz val="11"/>
        <color theme="1"/>
        <rFont val="Calibri"/>
        <family val="2"/>
        <scheme val="minor"/>
      </rPr>
      <t>2.05%</t>
    </r>
    <r>
      <rPr>
        <sz val="11"/>
        <color theme="1"/>
        <rFont val="Calibri"/>
        <family val="2"/>
        <scheme val="minor"/>
      </rPr>
      <t xml:space="preserve"> of total applicants were moved to the assessment stage</t>
    </r>
  </si>
  <si>
    <r>
      <t xml:space="preserve">Of those who completed assessments, </t>
    </r>
    <r>
      <rPr>
        <b/>
        <sz val="11"/>
        <color theme="1"/>
        <rFont val="Calibri"/>
        <family val="2"/>
        <scheme val="minor"/>
      </rPr>
      <t>71.2% were marked “Recommended</t>
    </r>
  </si>
  <si>
    <t>98.7% of recommended candidates attended HM interviews</t>
  </si>
  <si>
    <t>19.0% did not complete the assessment after it was requested</t>
  </si>
  <si>
    <r>
      <t xml:space="preserve">Report does </t>
    </r>
    <r>
      <rPr>
        <b/>
        <sz val="11"/>
        <color theme="1"/>
        <rFont val="Calibri"/>
        <family val="2"/>
        <scheme val="minor"/>
      </rPr>
      <t>not include</t>
    </r>
    <r>
      <rPr>
        <sz val="11"/>
        <color theme="1"/>
        <rFont val="Calibri"/>
        <family val="2"/>
        <scheme val="minor"/>
      </rPr>
      <t xml:space="preserve"> Senior Sales Director – Singapore and VP-level hiring in India</t>
    </r>
  </si>
  <si>
    <r>
      <t>55% of hiring</t>
    </r>
    <r>
      <rPr>
        <sz val="11"/>
        <color theme="1"/>
        <rFont val="Calibri"/>
        <family val="2"/>
        <scheme val="minor"/>
      </rPr>
      <t xml:space="preserve"> is happening in the </t>
    </r>
    <r>
      <rPr>
        <b/>
        <sz val="11"/>
        <color theme="1"/>
        <rFont val="Calibri"/>
        <family val="2"/>
        <scheme val="minor"/>
      </rPr>
      <t>APAC region</t>
    </r>
  </si>
  <si>
    <r>
      <t>Interview stage:</t>
    </r>
    <r>
      <rPr>
        <sz val="11"/>
        <color theme="1"/>
        <rFont val="Calibri"/>
        <family val="2"/>
        <scheme val="minor"/>
      </rPr>
      <t xml:space="preserve"> 29 candidates (</t>
    </r>
    <r>
      <rPr>
        <b/>
        <sz val="11"/>
        <color theme="1"/>
        <rFont val="Calibri"/>
        <family val="2"/>
        <scheme val="minor"/>
      </rPr>
      <t>36%</t>
    </r>
    <r>
      <rPr>
        <sz val="11"/>
        <color theme="1"/>
        <rFont val="Calibri"/>
        <family val="2"/>
        <scheme val="minor"/>
      </rPr>
      <t>) – largest concentration</t>
    </r>
  </si>
  <si>
    <r>
      <t>Ready for Hire:</t>
    </r>
    <r>
      <rPr>
        <sz val="11"/>
        <color theme="1"/>
        <rFont val="Calibri"/>
        <family val="2"/>
        <scheme val="minor"/>
      </rPr>
      <t xml:space="preserve"> 16 candidates (</t>
    </r>
    <r>
      <rPr>
        <b/>
        <sz val="11"/>
        <color theme="1"/>
        <rFont val="Calibri"/>
        <family val="2"/>
        <scheme val="minor"/>
      </rPr>
      <t>20%</t>
    </r>
    <r>
      <rPr>
        <sz val="11"/>
        <color theme="1"/>
        <rFont val="Calibri"/>
        <family val="2"/>
        <scheme val="minor"/>
      </rPr>
      <t>)</t>
    </r>
  </si>
  <si>
    <r>
      <t>Engineering Grow:</t>
    </r>
    <r>
      <rPr>
        <sz val="11"/>
        <color theme="1"/>
        <rFont val="Calibri"/>
        <family val="2"/>
        <scheme val="minor"/>
      </rPr>
      <t xml:space="preserve"> 17 open roles (</t>
    </r>
    <r>
      <rPr>
        <b/>
        <sz val="11"/>
        <color theme="1"/>
        <rFont val="Calibri"/>
        <family val="2"/>
        <scheme val="minor"/>
      </rPr>
      <t>30.9%</t>
    </r>
    <r>
      <rPr>
        <sz val="11"/>
        <color theme="1"/>
        <rFont val="Calibri"/>
        <family val="2"/>
        <scheme val="minor"/>
      </rPr>
      <t>)</t>
    </r>
  </si>
  <si>
    <r>
      <t>Professional Services:</t>
    </r>
    <r>
      <rPr>
        <sz val="11"/>
        <color theme="1"/>
        <rFont val="Calibri"/>
        <family val="2"/>
        <scheme val="minor"/>
      </rPr>
      <t xml:space="preserve"> 10 open roles (</t>
    </r>
    <r>
      <rPr>
        <b/>
        <sz val="11"/>
        <color theme="1"/>
        <rFont val="Calibri"/>
        <family val="2"/>
        <scheme val="minor"/>
      </rPr>
      <t>18.2%</t>
    </r>
    <r>
      <rPr>
        <sz val="11"/>
        <color theme="1"/>
        <rFont val="Calibri"/>
        <family val="2"/>
        <scheme val="minor"/>
      </rPr>
      <t>)</t>
    </r>
  </si>
  <si>
    <r>
      <t>Application Support:</t>
    </r>
    <r>
      <rPr>
        <sz val="11"/>
        <color theme="1"/>
        <rFont val="Calibri"/>
        <family val="2"/>
        <scheme val="minor"/>
      </rPr>
      <t xml:space="preserve"> 5 open roles (</t>
    </r>
    <r>
      <rPr>
        <b/>
        <sz val="11"/>
        <color theme="1"/>
        <rFont val="Calibri"/>
        <family val="2"/>
        <scheme val="minor"/>
      </rPr>
      <t>9.1%</t>
    </r>
    <r>
      <rPr>
        <sz val="11"/>
        <color theme="1"/>
        <rFont val="Calibri"/>
        <family val="2"/>
        <scheme val="minor"/>
      </rPr>
      <t>)</t>
    </r>
  </si>
  <si>
    <t>83% of leadership roles are based in the US</t>
  </si>
  <si>
    <r>
      <t>JD Globalization project</t>
    </r>
    <r>
      <rPr>
        <sz val="11"/>
        <color theme="1"/>
        <rFont val="Calibri"/>
        <family val="2"/>
        <scheme val="minor"/>
      </rPr>
      <t xml:space="preserve"> to kick off in </t>
    </r>
    <r>
      <rPr>
        <b/>
        <sz val="11"/>
        <color theme="1"/>
        <rFont val="Calibri"/>
        <family val="2"/>
        <scheme val="minor"/>
      </rPr>
      <t>March</t>
    </r>
  </si>
  <si>
    <r>
      <t>Labour law–aligned offer draft</t>
    </r>
    <r>
      <rPr>
        <sz val="11"/>
        <color theme="1"/>
        <rFont val="Calibri"/>
        <family val="2"/>
        <scheme val="minor"/>
      </rPr>
      <t xml:space="preserve"> in progress; planned implementation by </t>
    </r>
    <r>
      <rPr>
        <b/>
        <sz val="11"/>
        <color theme="1"/>
        <rFont val="Calibri"/>
        <family val="2"/>
        <scheme val="minor"/>
      </rPr>
      <t>April</t>
    </r>
  </si>
  <si>
    <r>
      <t>Singapore hiring</t>
    </r>
    <r>
      <rPr>
        <sz val="11"/>
        <color theme="1"/>
        <rFont val="Calibri"/>
        <family val="2"/>
        <scheme val="minor"/>
      </rPr>
      <t xml:space="preserve"> – final updates in progress</t>
    </r>
  </si>
  <si>
    <r>
      <t>Immigration &amp; repatriation</t>
    </r>
    <r>
      <rPr>
        <sz val="11"/>
        <color theme="1"/>
        <rFont val="Calibri"/>
        <family val="2"/>
        <scheme val="minor"/>
      </rPr>
      <t xml:space="preserve"> – good progress with </t>
    </r>
    <r>
      <rPr>
        <b/>
        <sz val="11"/>
        <color theme="1"/>
        <rFont val="Calibri"/>
        <family val="2"/>
        <scheme val="minor"/>
      </rPr>
      <t>Neura</t>
    </r>
  </si>
  <si>
    <t>Clear workload concentration across open requisitions - 83 joiners out of which 59% is from APAC</t>
  </si>
  <si>
    <t>Recruiters - Overall open reqs</t>
  </si>
  <si>
    <t>Stage - as per WD</t>
  </si>
  <si>
    <t>Stage - candidates in offer/ RTH</t>
  </si>
  <si>
    <t>Country - Candidates to be Identified</t>
  </si>
  <si>
    <t>Level - Leadership hiring</t>
  </si>
  <si>
    <t>CC - open reqs</t>
  </si>
  <si>
    <t>Application volume declined by ~14% in Q2 vs Q1 as of today</t>
  </si>
  <si>
    <r>
      <t>Leadership meet</t>
    </r>
    <r>
      <rPr>
        <sz val="11"/>
        <color theme="1"/>
        <rFont val="Calibri"/>
        <family val="2"/>
        <scheme val="minor"/>
      </rPr>
      <t xml:space="preserve"> -  </t>
    </r>
    <r>
      <rPr>
        <b/>
        <sz val="11"/>
        <color theme="1"/>
        <rFont val="Calibri"/>
        <family val="2"/>
        <scheme val="minor"/>
      </rPr>
      <t>Mumbai</t>
    </r>
  </si>
  <si>
    <r>
      <t>Global TA project</t>
    </r>
    <r>
      <rPr>
        <sz val="11"/>
        <color theme="1"/>
        <rFont val="Calibri"/>
        <family val="2"/>
        <scheme val="minor"/>
      </rPr>
      <t xml:space="preserve"> progressing with the Global TA team</t>
    </r>
    <r>
      <rPr>
        <b/>
        <sz val="11"/>
        <color theme="1"/>
        <rFont val="Calibri"/>
        <family val="2"/>
        <scheme val="minor"/>
      </rPr>
      <t xml:space="preserve"> - Licence to hire 2.0</t>
    </r>
  </si>
  <si>
    <t>Sr No</t>
  </si>
  <si>
    <t>Business Unit</t>
  </si>
  <si>
    <t>REQID</t>
  </si>
  <si>
    <t>Candidate Name</t>
  </si>
  <si>
    <t>Offer Status</t>
  </si>
  <si>
    <t>Subashini Shanmuganthan</t>
  </si>
  <si>
    <t>Offer Accepted</t>
  </si>
  <si>
    <t>Tamil nadu</t>
  </si>
  <si>
    <t>PE</t>
  </si>
  <si>
    <t>Poojitha Meda</t>
  </si>
  <si>
    <t>Telangana</t>
  </si>
  <si>
    <t>Vidushi Sinha</t>
  </si>
  <si>
    <t>Hyderabad</t>
  </si>
  <si>
    <t>Atul Mishra</t>
  </si>
  <si>
    <t>Offer  approval with Finance</t>
  </si>
  <si>
    <t>Noida</t>
  </si>
  <si>
    <t>Pankaj Kabdal</t>
  </si>
  <si>
    <t>Offer  Approval with HM</t>
  </si>
  <si>
    <t>Uttrakhand</t>
  </si>
  <si>
    <t>GTM/Sales Operations</t>
  </si>
  <si>
    <t>Kanika Sharma</t>
  </si>
  <si>
    <t>Gurugram</t>
  </si>
  <si>
    <t>Somyakanti Das</t>
  </si>
  <si>
    <t>Offer pending/business case pending</t>
  </si>
  <si>
    <t>Bangalore</t>
  </si>
  <si>
    <t>Offer to be released</t>
  </si>
  <si>
    <t>Recruiter - Overall Open reqs</t>
  </si>
  <si>
    <t>Stages - as per WD</t>
  </si>
  <si>
    <t>Identifed candidates Status</t>
  </si>
  <si>
    <t>8087 - Director (IC) - Product Strategy, Underwriting</t>
  </si>
  <si>
    <t>8088 - Director (IC) - Product Strategy, Policy</t>
  </si>
  <si>
    <t>Directors &amp; Above</t>
  </si>
  <si>
    <t>Open Reqs CC</t>
  </si>
  <si>
    <t>Reqs Pending for Approval</t>
  </si>
  <si>
    <t>CC and Country</t>
  </si>
  <si>
    <t>Mid funnel (Interview): 22 (27.5%)</t>
  </si>
  <si>
    <t>21% of the open reqs are with Engineering team</t>
  </si>
  <si>
    <r>
      <t xml:space="preserve">Pending HM Details: </t>
    </r>
    <r>
      <rPr>
        <b/>
        <sz val="11"/>
        <color theme="1"/>
        <rFont val="Calibri"/>
        <family val="2"/>
        <scheme val="minor"/>
      </rPr>
      <t>17 roles (21%)</t>
    </r>
    <r>
      <rPr>
        <sz val="11"/>
        <color theme="1"/>
        <rFont val="Calibri"/>
        <family val="2"/>
        <scheme val="minor"/>
      </rPr>
      <t xml:space="preserve"> – Where we need to connect with the hiring managers/ Kick off meeting - New roles</t>
    </r>
  </si>
  <si>
    <t>out of 92 joiners 54%  of the roles are from India (Includes Internal, referral etc)</t>
  </si>
  <si>
    <t>JD Globalization project to kick off in March</t>
  </si>
  <si>
    <t>Labour law–aligned offer draft in progress; planned implementation by April</t>
  </si>
  <si>
    <t>Leadership meet – Mumbai</t>
  </si>
  <si>
    <t>Global TA project progressing with the Global TA team – Licence to Hire 2.0</t>
  </si>
  <si>
    <t>Immigration &amp; repatriation – good progress with Neura</t>
  </si>
  <si>
    <t>Singapore hiring –start from scratch</t>
  </si>
  <si>
    <t>Process docuementation and early ground work for Malaysia</t>
  </si>
  <si>
    <t>2 VP and 1 Senior Manager - not part of the req list</t>
  </si>
  <si>
    <t>2 VP - India and 1 SM - India not part of the hiring numbers
1- Singapore hiring not part of the list - sourcing to be initaited again</t>
  </si>
  <si>
    <t>Vibha, Maria, Vandana, Saket, Alankara, Timothy (external), Micheal / Hamdi - Repatraiation and IJP - Aus to India - India to Australia</t>
  </si>
  <si>
    <t>There will be 85 Reqs as per WD report but we will be cancelling 5 reqs as per update from Lisa and Stephanie (Engineering and CS)</t>
  </si>
  <si>
    <t>Reenu Maternity - May; Dushyant - Paternity - March  onwards will face a reduced capacity for APAC</t>
  </si>
  <si>
    <t>Employee Health Con 2.0 - attending a conference in Feb</t>
  </si>
  <si>
    <t>Dushyant Devlekar (11945)
Reenu Sura (12333)</t>
  </si>
  <si>
    <t>Current Stage</t>
  </si>
  <si>
    <t>Identified candidates stage</t>
  </si>
  <si>
    <t>115 Finance - FP&amp;A</t>
  </si>
  <si>
    <t>190 Service Operations</t>
  </si>
  <si>
    <t>413 Premium Success</t>
  </si>
  <si>
    <t>7311 - Director (IC) - Software Architecture</t>
  </si>
  <si>
    <t>7357 - Director - Services Operations Management</t>
  </si>
  <si>
    <t>Director &amp; Above</t>
  </si>
  <si>
    <t>Senior Director - Sales</t>
  </si>
  <si>
    <t>US</t>
  </si>
  <si>
    <t>UK</t>
  </si>
  <si>
    <t>TTO</t>
  </si>
  <si>
    <t>TTF</t>
  </si>
  <si>
    <t>53 Days</t>
  </si>
  <si>
    <t>96 days</t>
  </si>
  <si>
    <t>260 Solution Architecture</t>
  </si>
  <si>
    <t>2026 - Q3</t>
  </si>
  <si>
    <t>63 total open reqs, with the heaviest recruiter ownership on Hari Thammineedi (17), Dushyant Devlekar (13), Jaya Joshi (12), Holly Solomon (11), and Reenu Sura (9)</t>
  </si>
  <si>
    <t>The pipeline is heavily concentrated in Interview (30 roles, 47.6% of all reqs)</t>
  </si>
  <si>
    <t>TTO is 53 days and TTF is 96 days; the 43-day gap implies a long post-offer / late-stage cycle relative to time-to-open-close progression</t>
  </si>
  <si>
    <t>124 total joins, split mainly across India (64, 51.6%) and US (43, 34.7%), with the remaining 17 spread across other countries</t>
  </si>
  <si>
    <t>The sheet suggests workload is not severely skewed overall, but Hari is clearly above the team average of 12.6 reqs per recruiter if you divide 63 across five named recruiters</t>
  </si>
  <si>
    <t>Functional demand appears broad, but the largest org buckets shown are 551 Engineering Grow (13), 400 Professional Services (8), 482 Application Support (8), and 151 Security Team (4) / 200 Sales (4) / 500 Product Management (4)</t>
  </si>
  <si>
    <t>There are 14 Director &amp; Above reqs, or 22.2% of all open reqs</t>
  </si>
  <si>
    <t>Candidates Applied totals 37,025 across Q1–Q3 2026, with Q2 highest at 15,755</t>
  </si>
  <si>
    <t>Assessment Requested totals 694 when combining incomplete and completed (128 + 566), which is about 1.9% of applicants</t>
  </si>
  <si>
    <t>Recommended totals 395, about 56.9% of assessed candidates and 1.1% of total applicants</t>
  </si>
  <si>
    <t>The biggest funnel compression is therefore at the very top: very high application volume converts into a very small assessed pool</t>
  </si>
  <si>
    <t>KPI Dashboard | Feb 19th to 25th March vs Jan 13th to 19th Feb</t>
  </si>
  <si>
    <t>Metric</t>
  </si>
  <si>
    <t>Current</t>
  </si>
  <si>
    <t>Prior</t>
  </si>
  <si>
    <t>Δ</t>
  </si>
  <si>
    <t>Trend</t>
  </si>
  <si>
    <t>Open reqs</t>
  </si>
  <si>
    <t>Down</t>
  </si>
  <si>
    <t>Director &amp; Above reqs</t>
  </si>
  <si>
    <t>Pending approvals</t>
  </si>
  <si>
    <t>Up</t>
  </si>
  <si>
    <t>Overall joined</t>
  </si>
  <si>
    <t>Time to Offer (days)</t>
  </si>
  <si>
    <t>Flat</t>
  </si>
  <si>
    <t>Time to Fill (days)</t>
  </si>
  <si>
    <t>Better</t>
  </si>
  <si>
    <t>Candidates applied</t>
  </si>
  <si>
    <t>Assessment requested</t>
  </si>
  <si>
    <t>Recommended</t>
  </si>
  <si>
    <t>HM interviews</t>
  </si>
  <si>
    <t>Trend Analysis</t>
  </si>
  <si>
    <t>1. Open reqs fell by 17 (80 to 63), pointing to a materially leaner active requisition load.</t>
  </si>
  <si>
    <t>2. Leadership hiring eased from 16 to 14 reqs, but still remains a meaningful 22% of the current req base.</t>
  </si>
  <si>
    <t>3. Pending approvals rose from 4 to 6, so approvals need attention even as total reqs fell.</t>
  </si>
  <si>
    <t>4. Execution improved: joins rose to 124 and TTF improved to 96 days from 100.</t>
  </si>
  <si>
    <t>5. Funnel throughput increased: applications +9,902, assessments +141, recommended +76, HM interviews +77.</t>
  </si>
  <si>
    <t>6. TTO stayed flat at 53 days, so most efficiency gains appear after offer-stage entry rather than at requisition opening.</t>
  </si>
  <si>
    <t>India (28) and the United States (21) account for 49 of 63 reqs, or about 77.8% of the total</t>
  </si>
  <si>
    <t>Vista Recruiter Training</t>
  </si>
  <si>
    <t>LinkedIn Hiring Assistant</t>
  </si>
  <si>
    <t>Demo - IIQ tool</t>
  </si>
  <si>
    <t xml:space="preserve">Project tracker to be discussed - TA </t>
  </si>
  <si>
    <t>Employee Referrals from Power School - to be discussed</t>
  </si>
  <si>
    <t>AI Pod Discussion</t>
  </si>
  <si>
    <t>Executive Recruiting Dashboard</t>
  </si>
  <si>
    <t>Period</t>
  </si>
  <si>
    <t>Pipeline / Candidate Total</t>
  </si>
  <si>
    <t>Identified / Offer-RTH</t>
  </si>
  <si>
    <t>Joined</t>
  </si>
  <si>
    <t>Trend Notes</t>
  </si>
  <si>
    <t>Nov 10th to Nov 25</t>
  </si>
  <si>
    <t>Nov 25th to Dec 10th</t>
  </si>
  <si>
    <t>Dec 10th to Jan 6th 2026</t>
  </si>
  <si>
    <t>Dec 10th to Jan 13th</t>
  </si>
  <si>
    <t>Jan 13th to Feb 12th</t>
  </si>
  <si>
    <t>Jan 13th to Feb 19th</t>
  </si>
  <si>
    <t>Feb 19th to Mar 25th</t>
  </si>
  <si>
    <t>Baseline period; high req load, slower cycle times.</t>
  </si>
  <si>
    <t>Open reqs peaked; offer-stage candidates improved.</t>
  </si>
  <si>
    <t>Req load eased; time-to-offer improved.</t>
  </si>
  <si>
    <t>Stable req volume; candidate identified count softened.</t>
  </si>
  <si>
    <t>Open reqs rose again; offer / RTH pool recovered.</t>
  </si>
  <si>
    <t>Flat req volume; stage mix shifted toward ready-for-hire.</t>
  </si>
  <si>
    <t>Req load dropped sharply; joined count strongest, but identified pool dipped.</t>
  </si>
  <si>
    <t>Executive Highlights</t>
  </si>
  <si>
    <t>Peak workload</t>
  </si>
  <si>
    <t>Latest open reqs</t>
  </si>
  <si>
    <t>Latest joined</t>
  </si>
  <si>
    <t>Best TTO</t>
  </si>
  <si>
    <t>Best TTF</t>
  </si>
  <si>
    <t>Largest identified pool</t>
  </si>
  <si>
    <t>Dip Flags</t>
  </si>
  <si>
    <t>Open req dip vs prior</t>
  </si>
  <si>
    <t>Identified dip vs prior</t>
  </si>
  <si>
    <t>Cycle time improvement vs first</t>
  </si>
  <si>
    <t>- Open requisitions expanded through Dec, stayed elevated through mid-Feb, then fell to 63 in the latest period.</t>
  </si>
  <si>
    <t>- Joined count rose steadily across periods, indicating hiring completions continued despite lower current open load.</t>
  </si>
  <si>
    <t>- Time to offer improved from 58 to 53 days and time to fill improved from 129 to 96 days overall.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</si>
</sst>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28" x14ac:knownFonts="1">
    <font>
      <sz val="11"/>
      <color theme="1"/>
      <name val="Calibri"/>
      <family val="2"/>
      <scheme val="minor"/>
    </font>
    <font>
      <b/>
      <sz val="14"/>
      <name val="Calibri"/>
      <family val="2"/>
    </font>
    <font>
      <b/>
      <sz val="11"/>
      <color theme="1"/>
      <name val="Calibri"/>
      <family val="2"/>
      <scheme val="minor"/>
    </font>
    <font>
      <b/>
      <sz val="10"/>
      <color theme="1"/>
      <name val="Arial"/>
      <family val="2"/>
    </font>
    <font>
      <b/>
      <sz val="10"/>
      <name val="Arial"/>
      <family val="2"/>
    </font>
    <font>
      <b/>
      <sz val="10"/>
      <color theme="1"/>
      <name val="Arial"/>
      <family val="2"/>
    </font>
    <font>
      <b/>
      <sz val="13.5"/>
      <color theme="1"/>
      <name val="Calibri"/>
      <family val="2"/>
      <scheme val="minor"/>
    </font>
    <font>
      <sz val="10"/>
      <color rgb="FF000000"/>
      <name val="Arial"/>
      <family val="2"/>
    </font>
    <font>
      <sz val="11"/>
      <color rgb="FF000000"/>
      <name val="Calibri"/>
      <family val="2"/>
      <scheme val="minor"/>
    </font>
    <font>
      <b/>
      <sz val="7"/>
      <color theme="1"/>
      <name val="Segoe UI"/>
      <family val="2"/>
    </font>
    <font>
      <i/>
      <sz val="7"/>
      <color theme="1"/>
      <name val="Segoe UI"/>
      <family val="2"/>
    </font>
    <font>
      <b/>
      <sz val="10"/>
      <name val="Arial"/>
      <family val="2"/>
    </font>
    <font>
      <sz val="10"/>
      <name val="Arial"/>
      <family val="2"/>
    </font>
    <font>
      <sz val="12"/>
      <color theme="1"/>
      <name val="Calibri"/>
      <family val="2"/>
      <scheme val="minor"/>
    </font>
    <font>
      <b/>
      <sz val="12"/>
      <color theme="1"/>
      <name val="Calibri"/>
      <family val="2"/>
      <scheme val="minor"/>
    </font>
    <font>
      <u/>
      <sz val="11"/>
      <color theme="10"/>
      <name val="Calibri"/>
      <family val="2"/>
      <scheme val="minor"/>
    </font>
    <font>
      <sz val="11"/>
      <name val="Calibri"/>
      <family val="2"/>
      <scheme val="minor"/>
    </font>
    <font>
      <b/>
      <sz val="10"/>
      <name val="Arial"/>
      <family val="2"/>
    </font>
    <font>
      <b/>
      <sz val="11"/>
      <color rgb="FFFFFFFF"/>
      <name val="Calibri"/>
      <family val="2"/>
      <scheme val="minor"/>
    </font>
    <font>
      <sz val="11"/>
      <color rgb="FFC00000"/>
      <name val="Calibri"/>
      <family val="2"/>
      <scheme val="minor"/>
    </font>
    <font>
      <b/>
      <sz val="11"/>
      <color rgb="FFC00000"/>
      <name val="Calibri"/>
      <family val="2"/>
      <scheme val="minor"/>
    </font>
    <font>
      <sz val="11"/>
      <color rgb="FF008000"/>
      <name val="Calibri"/>
      <family val="2"/>
      <scheme val="minor"/>
    </font>
    <font>
      <b/>
      <sz val="11"/>
      <color rgb="FF008000"/>
      <name val="Calibri"/>
      <family val="2"/>
      <scheme val="minor"/>
    </font>
    <font>
      <b/>
      <sz val="10"/>
      <color rgb="FF008000"/>
      <name val="Arial"/>
      <family val="2"/>
    </font>
    <font>
      <sz val="11"/>
      <color rgb="FF222222"/>
      <name val="Calibri"/>
      <scheme val="minor"/>
    </font>
    <font>
      <b/>
      <sz val="11"/>
      <color rgb="FFC00000"/>
      <name val="Calibri"/>
      <scheme val="minor"/>
    </font>
    <font>
      <b/>
      <sz val="11"/>
      <color rgb="FFFFFFFF"/>
      <name val="Calibri"/>
      <scheme val="minor"/>
    </font>
    <font>
      <b/>
      <sz val="14"/>
      <color rgb="FFFFFFFF"/>
      <name val="Calibri"/>
      <scheme val="minor"/>
    </font>
  </fonts>
  <fills count="12">
    <fill>
      <patternFill patternType="none"/>
    </fill>
    <fill>
      <patternFill patternType="gray125"/>
    </fill>
    <fill>
      <patternFill patternType="solid">
        <fgColor theme="4" tint="0.79998168889431442"/>
        <bgColor theme="4" tint="0.79998168889431442"/>
      </patternFill>
    </fill>
    <fill>
      <patternFill patternType="solid">
        <fgColor theme="0"/>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0"/>
        <bgColor theme="4" tint="0.79998168889431442"/>
      </patternFill>
    </fill>
    <fill>
      <patternFill patternType="solid">
        <fgColor theme="3" tint="0.79998168889431442"/>
        <bgColor theme="4" tint="0.79998168889431442"/>
      </patternFill>
    </fill>
    <fill>
      <patternFill patternType="solid">
        <fgColor rgb="FF1D2330"/>
        <bgColor indexed="64"/>
      </patternFill>
    </fill>
    <fill>
      <patternFill patternType="solid">
        <fgColor rgb="FFFFFFFF"/>
        <bgColor indexed="64"/>
      </patternFill>
    </fill>
    <fill>
      <patternFill patternType="solid">
        <fgColor rgb="FFFDE9E7"/>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indexed="64"/>
      </left>
      <right style="thin">
        <color indexed="64"/>
      </right>
      <top/>
      <bottom/>
      <diagonal/>
    </border>
    <border>
      <left/>
      <right/>
      <top style="thin">
        <color rgb="FFD9D9D9"/>
      </top>
      <bottom/>
      <diagonal/>
    </border>
    <border>
      <left/>
      <right/>
      <top/>
      <bottom style="thin">
        <color rgb="FFD9D9D9"/>
      </bottom>
      <diagonal/>
    </border>
    <border>
      <left style="thin">
        <color rgb="FFD9D9D9"/>
      </left>
      <right/>
      <top/>
      <bottom/>
      <diagonal/>
    </border>
    <border>
      <left style="thin">
        <color rgb="FFD9D9D9"/>
      </left>
      <right/>
      <top/>
      <bottom style="thin">
        <color rgb="FFD9D9D9"/>
      </bottom>
      <diagonal/>
    </border>
    <border>
      <left/>
      <right style="thin">
        <color rgb="FFD9D9D9"/>
      </right>
      <top style="thin">
        <color rgb="FFD9D9D9"/>
      </top>
      <bottom/>
      <diagonal/>
    </border>
    <border>
      <left/>
      <right style="thin">
        <color rgb="FFD9D9D9"/>
      </right>
      <top/>
      <bottom/>
      <diagonal/>
    </border>
    <border>
      <left/>
      <right style="thin">
        <color rgb="FFD9D9D9"/>
      </right>
      <top/>
      <bottom style="thin">
        <color rgb="FFD9D9D9"/>
      </bottom>
      <diagonal/>
    </border>
    <border>
      <left/>
      <right/>
      <top/>
      <bottom style="thick">
        <color rgb="FF000000"/>
      </bottom>
      <diagonal/>
    </border>
    <border>
      <left style="thin">
        <color rgb="FFD9D9D9"/>
      </left>
      <right/>
      <top style="thin">
        <color rgb="FFD9D9D9"/>
      </top>
      <bottom style="thick">
        <color rgb="FF000000"/>
      </bottom>
      <diagonal/>
    </border>
    <border>
      <left style="thin">
        <color rgb="FFD9D9D9"/>
      </left>
      <right/>
      <top/>
      <bottom style="thick">
        <color rgb="FF000000"/>
      </bottom>
      <diagonal/>
    </border>
  </borders>
  <cellStyleXfs count="2">
    <xf numFmtId="0" fontId="0" fillId="0" borderId="0"/>
    <xf numFmtId="0" fontId="15" fillId="0" borderId="0" applyNumberFormat="0" applyFill="0" applyBorder="0" applyAlignment="0" applyProtection="0"/>
  </cellStyleXfs>
  <cellXfs count="108">
    <xf numFmtId="0" fontId="0" fillId="0" borderId="0" xfId="0"/>
    <xf numFmtId="0" fontId="0" fillId="3" borderId="0" xfId="0" applyFill="1"/>
    <xf numFmtId="0" fontId="2" fillId="3" borderId="0" xfId="0" applyFont="1" applyFill="1"/>
    <xf numFmtId="0" fontId="0" fillId="0" borderId="1" xfId="0" applyBorder="1" applyAlignment="1">
      <alignment horizontal="left"/>
    </xf>
    <xf numFmtId="0" fontId="3" fillId="2" borderId="1" xfId="0" applyFont="1" applyFill="1" applyBorder="1" applyAlignment="1">
      <alignment horizontal="left"/>
    </xf>
    <xf numFmtId="0" fontId="2" fillId="0" borderId="0" xfId="0" applyFont="1" applyAlignment="1">
      <alignment horizontal="center"/>
    </xf>
    <xf numFmtId="0" fontId="2" fillId="0" borderId="0" xfId="0" applyFont="1"/>
    <xf numFmtId="0" fontId="0" fillId="0" borderId="1" xfId="0" pivotButton="1" applyBorder="1" applyAlignment="1">
      <alignment horizontal="left"/>
    </xf>
    <xf numFmtId="0" fontId="2" fillId="2" borderId="1" xfId="0" applyFont="1" applyFill="1" applyBorder="1" applyAlignment="1">
      <alignment horizontal="left"/>
    </xf>
    <xf numFmtId="0" fontId="0" fillId="3" borderId="1" xfId="0" applyFill="1" applyBorder="1"/>
    <xf numFmtId="0" fontId="0" fillId="3" borderId="1" xfId="0" applyFill="1" applyBorder="1" applyAlignment="1">
      <alignment horizontal="left"/>
    </xf>
    <xf numFmtId="0" fontId="0" fillId="0" borderId="1" xfId="0" applyBorder="1" applyAlignment="1">
      <alignment vertical="top" wrapText="1"/>
    </xf>
    <xf numFmtId="0" fontId="0" fillId="0" borderId="1" xfId="0" applyBorder="1" applyAlignment="1">
      <alignment horizontal="left" vertical="top" wrapText="1"/>
    </xf>
    <xf numFmtId="3" fontId="0" fillId="0" borderId="1" xfId="0" applyNumberFormat="1" applyBorder="1" applyAlignment="1">
      <alignment horizontal="left" vertical="top"/>
    </xf>
    <xf numFmtId="0" fontId="4" fillId="5" borderId="1" xfId="0" applyFont="1" applyFill="1" applyBorder="1" applyAlignment="1">
      <alignment horizontal="left" vertical="top" wrapText="1"/>
    </xf>
    <xf numFmtId="0" fontId="0" fillId="5" borderId="1" xfId="0" applyFill="1" applyBorder="1" applyAlignment="1">
      <alignment horizontal="left" vertical="top" wrapText="1"/>
    </xf>
    <xf numFmtId="3" fontId="0" fillId="5" borderId="1" xfId="0" applyNumberFormat="1" applyFill="1" applyBorder="1" applyAlignment="1">
      <alignment horizontal="left" vertical="top"/>
    </xf>
    <xf numFmtId="0" fontId="5" fillId="2" borderId="1" xfId="0" applyFont="1" applyFill="1" applyBorder="1"/>
    <xf numFmtId="0" fontId="5" fillId="2" borderId="1" xfId="0" applyFont="1" applyFill="1" applyBorder="1" applyAlignment="1">
      <alignment horizontal="left"/>
    </xf>
    <xf numFmtId="0" fontId="2" fillId="0" borderId="0" xfId="0" applyFont="1" applyAlignment="1">
      <alignment horizontal="left"/>
    </xf>
    <xf numFmtId="0" fontId="2" fillId="3" borderId="0" xfId="0" applyFont="1" applyFill="1" applyAlignment="1">
      <alignment horizontal="center"/>
    </xf>
    <xf numFmtId="0" fontId="2" fillId="0" borderId="1" xfId="0" applyFont="1" applyBorder="1" applyAlignment="1">
      <alignment vertical="center"/>
    </xf>
    <xf numFmtId="0" fontId="0" fillId="0" borderId="1" xfId="0" applyBorder="1" applyAlignment="1">
      <alignment vertical="center"/>
    </xf>
    <xf numFmtId="0" fontId="6" fillId="0" borderId="1" xfId="0" applyFont="1" applyBorder="1" applyAlignment="1">
      <alignment vertical="center"/>
    </xf>
    <xf numFmtId="10" fontId="0" fillId="0" borderId="1" xfId="0" applyNumberFormat="1" applyBorder="1" applyAlignment="1">
      <alignment horizontal="left"/>
    </xf>
    <xf numFmtId="9" fontId="0" fillId="0" borderId="1" xfId="0" applyNumberFormat="1" applyBorder="1" applyAlignment="1">
      <alignment horizontal="left"/>
    </xf>
    <xf numFmtId="0" fontId="2" fillId="4" borderId="1" xfId="0" applyFont="1" applyFill="1" applyBorder="1" applyAlignment="1">
      <alignment horizontal="left"/>
    </xf>
    <xf numFmtId="0" fontId="7" fillId="0" borderId="1" xfId="0" applyFont="1" applyBorder="1" applyAlignment="1">
      <alignment vertical="top" wrapText="1"/>
    </xf>
    <xf numFmtId="0" fontId="0" fillId="4" borderId="1" xfId="0" applyFill="1" applyBorder="1" applyAlignment="1">
      <alignment horizontal="left"/>
    </xf>
    <xf numFmtId="0" fontId="8" fillId="0" borderId="1" xfId="0" applyFont="1" applyBorder="1" applyAlignment="1">
      <alignment horizontal="left"/>
    </xf>
    <xf numFmtId="0" fontId="2" fillId="5" borderId="1" xfId="0" applyFont="1" applyFill="1" applyBorder="1"/>
    <xf numFmtId="0" fontId="2" fillId="2" borderId="1" xfId="0" applyFont="1" applyFill="1" applyBorder="1" applyAlignment="1">
      <alignment horizontal="left" vertical="top"/>
    </xf>
    <xf numFmtId="0" fontId="0" fillId="3" borderId="1" xfId="0" applyFill="1" applyBorder="1" applyAlignment="1">
      <alignment vertical="top" wrapText="1"/>
    </xf>
    <xf numFmtId="0" fontId="0" fillId="6" borderId="1" xfId="0" applyFill="1" applyBorder="1" applyAlignment="1">
      <alignment horizontal="left"/>
    </xf>
    <xf numFmtId="0" fontId="0" fillId="0" borderId="2" xfId="0" applyBorder="1"/>
    <xf numFmtId="0" fontId="0" fillId="3" borderId="2" xfId="0" applyFill="1" applyBorder="1"/>
    <xf numFmtId="0" fontId="0" fillId="3" borderId="2" xfId="0" applyFill="1" applyBorder="1" applyAlignment="1">
      <alignment horizontal="left"/>
    </xf>
    <xf numFmtId="0" fontId="5" fillId="2" borderId="2" xfId="0" applyFont="1" applyFill="1" applyBorder="1" applyAlignment="1">
      <alignment horizontal="left"/>
    </xf>
    <xf numFmtId="0" fontId="2" fillId="3" borderId="2" xfId="0" applyFont="1" applyFill="1" applyBorder="1" applyAlignment="1">
      <alignment horizontal="left"/>
    </xf>
    <xf numFmtId="0" fontId="2" fillId="0" borderId="2" xfId="0" applyFont="1" applyBorder="1"/>
    <xf numFmtId="0" fontId="3" fillId="0" borderId="1" xfId="0" applyFont="1" applyBorder="1" applyAlignment="1">
      <alignment horizontal="left"/>
    </xf>
    <xf numFmtId="0" fontId="0" fillId="0" borderId="1" xfId="0" applyBorder="1" applyAlignment="1">
      <alignment horizontal="left" indent="1"/>
    </xf>
    <xf numFmtId="0" fontId="11" fillId="0" borderId="1" xfId="0" applyFont="1" applyBorder="1" applyAlignment="1">
      <alignment horizontal="left"/>
    </xf>
    <xf numFmtId="0" fontId="12" fillId="0" borderId="1" xfId="0" applyFont="1" applyBorder="1" applyAlignment="1">
      <alignment horizontal="left"/>
    </xf>
    <xf numFmtId="0" fontId="0" fillId="3" borderId="6" xfId="0" applyFill="1" applyBorder="1" applyAlignment="1">
      <alignment horizontal="left"/>
    </xf>
    <xf numFmtId="3" fontId="0" fillId="3" borderId="1" xfId="0" applyNumberFormat="1" applyFill="1" applyBorder="1" applyAlignment="1">
      <alignment horizontal="left" vertical="top"/>
    </xf>
    <xf numFmtId="0" fontId="9" fillId="3" borderId="0" xfId="0" applyFont="1" applyFill="1" applyAlignment="1">
      <alignment vertical="center"/>
    </xf>
    <xf numFmtId="0" fontId="10" fillId="3" borderId="0" xfId="0" applyFont="1" applyFill="1" applyAlignment="1">
      <alignment vertical="center"/>
    </xf>
    <xf numFmtId="0" fontId="14" fillId="3" borderId="0" xfId="0" applyFont="1" applyFill="1"/>
    <xf numFmtId="0" fontId="13" fillId="0" borderId="1" xfId="0" applyFont="1" applyBorder="1" applyAlignment="1">
      <alignment vertical="center"/>
    </xf>
    <xf numFmtId="0" fontId="13" fillId="3" borderId="1" xfId="0" applyFont="1" applyFill="1" applyBorder="1"/>
    <xf numFmtId="0" fontId="13" fillId="0" borderId="1" xfId="0" applyFont="1" applyBorder="1" applyAlignment="1">
      <alignment vertical="center" wrapText="1"/>
    </xf>
    <xf numFmtId="0" fontId="0" fillId="4" borderId="0" xfId="0" applyFill="1"/>
    <xf numFmtId="0" fontId="3" fillId="7" borderId="1" xfId="0" applyFont="1" applyFill="1" applyBorder="1" applyAlignment="1">
      <alignment horizontal="left"/>
    </xf>
    <xf numFmtId="0" fontId="3" fillId="3" borderId="1" xfId="0" applyFont="1" applyFill="1" applyBorder="1" applyAlignment="1">
      <alignment horizontal="left"/>
    </xf>
    <xf numFmtId="0" fontId="0" fillId="3" borderId="1" xfId="0" applyFill="1" applyBorder="1" applyAlignment="1">
      <alignment horizontal="left" indent="1"/>
    </xf>
    <xf numFmtId="0" fontId="0" fillId="3" borderId="0" xfId="0" applyFill="1" applyAlignment="1">
      <alignment horizontal="left"/>
    </xf>
    <xf numFmtId="0" fontId="0" fillId="3" borderId="1" xfId="0" applyFill="1" applyBorder="1" applyAlignment="1">
      <alignment horizontal="left" vertical="top" wrapText="1"/>
    </xf>
    <xf numFmtId="0" fontId="0" fillId="5" borderId="1" xfId="0" applyFill="1" applyBorder="1"/>
    <xf numFmtId="0" fontId="0" fillId="0" borderId="1" xfId="0" applyBorder="1" applyAlignment="1">
      <alignment horizontal="left" vertical="top"/>
    </xf>
    <xf numFmtId="0" fontId="0" fillId="3" borderId="1" xfId="0" applyFill="1" applyBorder="1" applyAlignment="1">
      <alignment horizontal="left" vertical="top"/>
    </xf>
    <xf numFmtId="0" fontId="15" fillId="0" borderId="1" xfId="1" applyBorder="1" applyAlignment="1">
      <alignment horizontal="left" vertical="top" wrapText="1"/>
    </xf>
    <xf numFmtId="0" fontId="3" fillId="2" borderId="1" xfId="0" applyFont="1" applyFill="1" applyBorder="1"/>
    <xf numFmtId="0" fontId="0" fillId="0" borderId="1" xfId="0" applyBorder="1"/>
    <xf numFmtId="3" fontId="0" fillId="3" borderId="1" xfId="0" applyNumberFormat="1" applyFill="1" applyBorder="1" applyAlignment="1">
      <alignment horizontal="right" vertical="top"/>
    </xf>
    <xf numFmtId="0" fontId="3" fillId="8" borderId="1" xfId="0" applyFont="1" applyFill="1" applyBorder="1" applyAlignment="1">
      <alignment horizontal="left"/>
    </xf>
    <xf numFmtId="0" fontId="3" fillId="0" borderId="1" xfId="0" applyFont="1" applyBorder="1"/>
    <xf numFmtId="0" fontId="0" fillId="4" borderId="1" xfId="0" applyFill="1" applyBorder="1"/>
    <xf numFmtId="0" fontId="2" fillId="0" borderId="1" xfId="0" applyFont="1" applyBorder="1"/>
    <xf numFmtId="0" fontId="4" fillId="4" borderId="1" xfId="0" applyFont="1" applyFill="1" applyBorder="1" applyAlignment="1">
      <alignment horizontal="center" vertical="top" wrapText="1"/>
    </xf>
    <xf numFmtId="0" fontId="3" fillId="8" borderId="1" xfId="0" applyFont="1" applyFill="1" applyBorder="1"/>
    <xf numFmtId="0" fontId="16" fillId="4" borderId="1" xfId="0" applyFont="1" applyFill="1" applyBorder="1" applyAlignment="1">
      <alignment horizontal="left" vertical="center"/>
    </xf>
    <xf numFmtId="0" fontId="0" fillId="0" borderId="1" xfId="0" applyBorder="1" applyAlignment="1">
      <alignment horizontal="left" wrapText="1"/>
    </xf>
    <xf numFmtId="0" fontId="0" fillId="0" borderId="1" xfId="0" applyBorder="1" applyAlignment="1">
      <alignment horizontal="left" vertical="center" wrapText="1"/>
    </xf>
    <xf numFmtId="0" fontId="0" fillId="3" borderId="1" xfId="0" applyFill="1" applyBorder="1" applyAlignment="1">
      <alignment wrapText="1"/>
    </xf>
    <xf numFmtId="0" fontId="3" fillId="7" borderId="1" xfId="0" applyFont="1" applyFill="1" applyBorder="1"/>
    <xf numFmtId="0" fontId="3" fillId="3" borderId="1" xfId="0" applyFont="1" applyFill="1" applyBorder="1"/>
    <xf numFmtId="0" fontId="2" fillId="3" borderId="1" xfId="0" applyFont="1" applyFill="1" applyBorder="1" applyAlignment="1">
      <alignment horizontal="left"/>
    </xf>
    <xf numFmtId="0" fontId="18" fillId="3" borderId="1" xfId="0" applyFont="1" applyFill="1" applyBorder="1" applyAlignment="1">
      <alignment horizontal="left"/>
    </xf>
    <xf numFmtId="0" fontId="2" fillId="3" borderId="1" xfId="0" applyFont="1" applyFill="1" applyBorder="1" applyAlignment="1">
      <alignment horizontal="center"/>
    </xf>
    <xf numFmtId="3" fontId="0" fillId="3" borderId="1" xfId="0" applyNumberFormat="1" applyFill="1" applyBorder="1" applyAlignment="1">
      <alignment horizontal="center"/>
    </xf>
    <xf numFmtId="164" fontId="19" fillId="3" borderId="1" xfId="0" applyNumberFormat="1" applyFont="1" applyFill="1" applyBorder="1" applyAlignment="1">
      <alignment horizontal="center"/>
    </xf>
    <xf numFmtId="0" fontId="20" fillId="3" borderId="1" xfId="0" applyFont="1" applyFill="1" applyBorder="1" applyAlignment="1">
      <alignment horizontal="center"/>
    </xf>
    <xf numFmtId="164" fontId="21" fillId="3" borderId="1" xfId="0" applyNumberFormat="1" applyFont="1" applyFill="1" applyBorder="1" applyAlignment="1">
      <alignment horizontal="center"/>
    </xf>
    <xf numFmtId="0" fontId="22" fillId="3" borderId="1" xfId="0" applyFont="1" applyFill="1" applyBorder="1" applyAlignment="1">
      <alignment horizontal="center"/>
    </xf>
    <xf numFmtId="1" fontId="0" fillId="3" borderId="1" xfId="0" applyNumberFormat="1" applyFill="1" applyBorder="1" applyAlignment="1">
      <alignment horizontal="center"/>
    </xf>
    <xf numFmtId="164" fontId="0" fillId="3" borderId="1" xfId="0" applyNumberFormat="1" applyFill="1" applyBorder="1" applyAlignment="1">
      <alignment horizontal="center"/>
    </xf>
    <xf numFmtId="164" fontId="23" fillId="7" borderId="1" xfId="0" applyNumberFormat="1" applyFont="1" applyFill="1" applyBorder="1" applyAlignment="1">
      <alignment horizontal="center"/>
    </xf>
    <xf numFmtId="0" fontId="23" fillId="7" borderId="1" xfId="0" applyFont="1" applyFill="1" applyBorder="1" applyAlignment="1">
      <alignment horizontal="center"/>
    </xf>
    <xf numFmtId="0" fontId="18" fillId="3" borderId="0" xfId="0" applyFont="1" applyFill="1" applyAlignment="1">
      <alignment horizontal="left"/>
    </xf>
    <xf numFmtId="0" fontId="17" fillId="4" borderId="1" xfId="0" applyFont="1" applyFill="1" applyBorder="1" applyAlignment="1">
      <alignment horizontal="center" vertical="top" wrapText="1"/>
    </xf>
    <xf numFmtId="0" fontId="1" fillId="0" borderId="0" xfId="0" applyFont="1"/>
    <xf numFmtId="0" fontId="0" fillId="0" borderId="0" xfId="0"/>
    <xf numFmtId="0" fontId="2" fillId="0" borderId="3" xfId="0" applyFont="1" applyBorder="1" applyAlignment="1">
      <alignment horizontal="left"/>
    </xf>
    <xf numFmtId="0" fontId="2" fillId="0" borderId="5" xfId="0" applyFont="1" applyBorder="1" applyAlignment="1">
      <alignment horizontal="left"/>
    </xf>
    <xf numFmtId="0" fontId="2" fillId="0" borderId="4" xfId="0" applyFont="1" applyBorder="1" applyAlignment="1">
      <alignment horizontal="left"/>
    </xf>
    <xf numFmtId="0" fontId="24" fillId="10" borderId="7" xfId="0" applyNumberFormat="1" applyFont="1" applyFill="1" applyBorder="1" applyAlignment="1">
      <alignment horizontal="left"/>
    </xf>
    <xf numFmtId="0" fontId="24" fillId="10" borderId="0" xfId="0" applyNumberFormat="1" applyFont="1" applyFill="1" applyBorder="1" applyAlignment="1">
      <alignment horizontal="left"/>
    </xf>
    <xf numFmtId="0" fontId="24" fillId="10" borderId="8" xfId="0" applyNumberFormat="1" applyFont="1" applyFill="1" applyBorder="1" applyAlignment="1">
      <alignment horizontal="left"/>
    </xf>
    <xf numFmtId="0" fontId="24" fillId="10" borderId="9" xfId="0" applyNumberFormat="1" applyFont="1" applyFill="1" applyBorder="1" applyAlignment="1">
      <alignment horizontal="left"/>
    </xf>
    <xf numFmtId="0" fontId="24" fillId="10" borderId="10" xfId="0" applyNumberFormat="1" applyFont="1" applyFill="1" applyBorder="1" applyAlignment="1">
      <alignment horizontal="left"/>
    </xf>
    <xf numFmtId="0" fontId="24" fillId="10" borderId="11" xfId="0" applyNumberFormat="1" applyFont="1" applyFill="1" applyBorder="1" applyAlignment="1">
      <alignment horizontal="left"/>
    </xf>
    <xf numFmtId="0" fontId="24" fillId="10" borderId="12" xfId="0" applyNumberFormat="1" applyFont="1" applyFill="1" applyBorder="1" applyAlignment="1">
      <alignment horizontal="left"/>
    </xf>
    <xf numFmtId="0" fontId="24" fillId="10" borderId="13" xfId="0" applyNumberFormat="1" applyFont="1" applyFill="1" applyBorder="1" applyAlignment="1">
      <alignment horizontal="left"/>
    </xf>
    <xf numFmtId="0" fontId="25" fillId="11" borderId="0" xfId="0" applyNumberFormat="1" applyFont="1" applyFill="1" applyBorder="1" applyAlignment="1">
      <alignment horizontal="left"/>
    </xf>
    <xf numFmtId="0" fontId="26" fillId="9" borderId="14" xfId="0" applyNumberFormat="1" applyFont="1" applyFill="1" applyBorder="1" applyAlignment="1">
      <alignment horizontal="left"/>
    </xf>
    <xf numFmtId="0" fontId="27" fillId="9" borderId="15" xfId="0" applyNumberFormat="1" applyFont="1" applyFill="1" applyBorder="1" applyAlignment="1">
      <alignment horizontal="left"/>
    </xf>
    <xf numFmtId="0" fontId="26" fillId="9" borderId="16" xfId="0" applyNumberFormat="1" applyFont="1" applyFill="1" applyBorder="1" applyAlignment="1">
      <alignment horizontal="left"/>
    </xf>
  </cellXfs>
  <cellStyles count="2">
    <cellStyle name="Hyperlink" xfId="1" builtinId="8"/>
    <cellStyle name="Normal" xfId="0" builtinId="0"/>
  </cellStyles>
  <dxfs count="74">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fill>
        <patternFill>
          <bgColor theme="4" tint="0.79998168889431442"/>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3" tint="0.79998168889431442"/>
        </patternFill>
      </fill>
    </dxf>
    <dxf>
      <fill>
        <patternFill patternType="solid">
          <bgColor theme="3"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yogeshwari.rangaraj/Downloads/DCT_-_All_Job_Reqs_Pending_Approval%20(13).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Users/yogeshwari.rangaraj/Downloads/Global_DCT_All_Job_Requisitions_with_MGMT%20(30).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microsoft.com/office/2006/relationships/xlExternalLinkPath/xlPathMissing" Target="Book1" TargetMode="External"/><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2" Type="http://schemas.openxmlformats.org/officeDocument/2006/relationships/externalLinkPath" Target="file:///C:\Users\yogeshwari.rangaraj\Downloads\DCT_-_All_Job_Reqs_Pending_Approval%20(31).xlsx" TargetMode="External"/><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ngaraj, Yogeshwari" refreshedDate="45999.37544664352" createdVersion="8" refreshedVersion="8" minRefreshableVersion="3" recordCount="27" xr:uid="{9473422C-D7F2-4BA3-96FE-4637B718FD5A}">
  <cacheSource type="worksheet">
    <worksheetSource ref="A1:W1048576" sheet="DCT - All Job Reqs Pending Appr" r:id="rId2"/>
  </cacheSource>
  <cacheFields count="23">
    <cacheField name="Area/Sponsor" numFmtId="0">
      <sharedItems containsBlank="1"/>
    </cacheField>
    <cacheField name="Hiring Manager" numFmtId="0">
      <sharedItems containsBlank="1"/>
    </cacheField>
    <cacheField name="Target Location" numFmtId="0">
      <sharedItems containsBlank="1" count="10">
        <s v="100 Summer Street, Boston office"/>
        <s v="Remote India"/>
        <s v="Remote US"/>
        <s v="Sydney Office"/>
        <s v="Remote Poland"/>
        <s v="Remote Mumbai"/>
        <s v="Remote - Maharashtra (WI)"/>
        <s v="Remote Belgium"/>
        <s v="Remote CA"/>
        <m/>
      </sharedItems>
    </cacheField>
    <cacheField name="Cost Center" numFmtId="0">
      <sharedItems containsBlank="1" count="11">
        <s v="400 Professional Services"/>
        <s v="151 Security Team"/>
        <s v="475 CS Management, OnDemand CSMs and Onboarding"/>
        <s v="180 Facilities"/>
        <s v="130 Human Resources"/>
        <s v="240 Sales Operations"/>
        <s v="100 Executive"/>
        <s v="300 Marketing"/>
        <m/>
        <s v="551 Engineering Grow"/>
        <s v="250 Pre Sales"/>
      </sharedItems>
    </cacheField>
    <cacheField name="Company" numFmtId="0">
      <sharedItems containsBlank="1"/>
    </cacheField>
    <cacheField name="Worker Type" numFmtId="0">
      <sharedItems containsBlank="1"/>
    </cacheField>
    <cacheField name="Job Profile" numFmtId="0">
      <sharedItems containsBlank="1"/>
    </cacheField>
    <cacheField name="Job Title" numFmtId="0">
      <sharedItems containsBlank="1"/>
    </cacheField>
    <cacheField name="Worker Type2" numFmtId="0">
      <sharedItems containsBlank="1"/>
    </cacheField>
    <cacheField name="BP Category" numFmtId="0">
      <sharedItems containsBlank="1"/>
    </cacheField>
    <cacheField name="Initiating Person" numFmtId="0">
      <sharedItems containsBlank="1"/>
    </cacheField>
    <cacheField name="Date Initiated" numFmtId="0">
      <sharedItems containsNonDate="0" containsDate="1" containsString="0" containsBlank="1" minDate="2024-10-30T00:00:00" maxDate="2025-12-06T00:00:00"/>
    </cacheField>
    <cacheField name="BP Reason" numFmtId="0">
      <sharedItems containsBlank="1"/>
    </cacheField>
    <cacheField name="Transaction Status" numFmtId="0">
      <sharedItems containsBlank="1"/>
    </cacheField>
    <cacheField name="Sub-Status" numFmtId="0">
      <sharedItems containsBlank="1"/>
    </cacheField>
    <cacheField name="Job Requisition ID" numFmtId="0">
      <sharedItems containsBlank="1"/>
    </cacheField>
    <cacheField name="Justification" numFmtId="0">
      <sharedItems containsBlank="1" longText="1"/>
    </cacheField>
    <cacheField name="Replacement For - Proposed" numFmtId="0">
      <sharedItems containsBlank="1"/>
    </cacheField>
    <cacheField name="Base Pay - Proposed" numFmtId="0">
      <sharedItems containsString="0" containsBlank="1" containsNumber="1" minValue="128000" maxValue="4200000"/>
    </cacheField>
    <cacheField name="Job Profile - Proposed" numFmtId="0">
      <sharedItems containsBlank="1"/>
    </cacheField>
    <cacheField name="Job Posting Title" numFmtId="0">
      <sharedItems containsBlank="1"/>
    </cacheField>
    <cacheField name="Awaiting Persons" numFmtId="0">
      <sharedItems containsBlank="1"/>
    </cacheField>
    <cacheField name="LRV - Primary Recruiter Proposed"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ngaraj, Yogeshwari" refreshedDate="45999.592420138892" createdVersion="8" refreshedVersion="8" minRefreshableVersion="3" recordCount="91" xr:uid="{4EB16D8D-4806-4F6E-8148-59D7F8FA72F9}">
  <cacheSource type="worksheet">
    <worksheetSource ref="A1:AC92" sheet="Global  DCT All Job Requisition" r:id="rId2"/>
  </cacheSource>
  <cacheFields count="29">
    <cacheField name="REQID" numFmtId="0">
      <sharedItems/>
    </cacheField>
    <cacheField name="Job Posting Title" numFmtId="0">
      <sharedItems/>
    </cacheField>
    <cacheField name="Job Requisition Status" numFmtId="0">
      <sharedItems/>
    </cacheField>
    <cacheField name="Is Evergreen" numFmtId="0">
      <sharedItems containsBlank="1"/>
    </cacheField>
    <cacheField name="Day(s) Open" numFmtId="0">
      <sharedItems/>
    </cacheField>
    <cacheField name="Job Requisition Primary Job Posting Location" numFmtId="0">
      <sharedItems/>
    </cacheField>
    <cacheField name="Country" numFmtId="0">
      <sharedItems count="7">
        <s v="India"/>
        <s v="United States of America"/>
        <s v="Australia"/>
        <s v="Poland"/>
        <s v="United Kingdom"/>
        <s v="France"/>
        <s v="Canada"/>
      </sharedItems>
    </cacheField>
    <cacheField name="Primary Recruiters" numFmtId="0">
      <sharedItems/>
    </cacheField>
    <cacheField name="Hiring Manager(s)" numFmtId="0">
      <sharedItems/>
    </cacheField>
    <cacheField name="Job Profile" numFmtId="0">
      <sharedItems count="62">
        <s v="7304 - Senior Manager (IC) - Software Engineering"/>
        <s v="7311 - Director - Software Architecture"/>
        <s v="7860 - Senior Analyst (IC) - Enterprise Application Administration"/>
        <s v="7433 - Senior Manager - Software Configuration"/>
        <s v="7305 - Manager - Software Engineering"/>
        <s v="7802 - Sr Manager (IC) - Microservices"/>
        <s v="7302 - Senior Manager (MGMT) - Engineering MGT"/>
        <s v="7306 - Associate Manager - Software Engineering"/>
        <s v="7369 - Analyst – User Experience"/>
        <s v="7384 - Senior Manager - Services Project Management MGT"/>
        <s v="7815 - Analyst I (IC) - Software Configuration"/>
        <s v="8053 - SVP (MGMT) - Corporate Development"/>
        <s v="7436 - Senior Analyst - Software Configuration"/>
        <s v="8044 - Senior Analyst (IC) - HR Programs"/>
        <s v="7755 - Analyst I - Software Engineering"/>
        <s v="7460 - Manager (IC) - Business Analysis"/>
        <s v="7702 - Senior Director - Sales"/>
        <s v="7303 - Director – Software Engineering"/>
        <s v="8004 - Analyst I (IC) - CS Upgrades"/>
        <s v="7324 - Analyst II (IC) – CS Upgrades"/>
        <s v="8005 - Director (MGMT) - Global Fusion"/>
        <s v="7680 - Manager (IC) - Application Incident Manager"/>
        <s v="7568 - Senior Manager - GTM Operations"/>
        <s v="7482 - Vice President - Professional Services MGT"/>
        <s v="7435 - Associate Manager - Software Configuration"/>
        <s v="7824 - Analyst II (IC) - Accounting"/>
        <s v="7312 - Senior Manager – Software Architecture"/>
        <s v="7119 - Senior Manager (MGMT) - Solution Consulting"/>
        <s v="1942 - Analyst II (IC) - Network Administration"/>
        <s v="7530 - Senior Director (MGMT) – Services Project Management"/>
        <s v="7406 - Senior Analyst (IC) - Application Support"/>
        <s v="7454 - Senior Manager - Technical Architecture"/>
        <s v="8034 - Manager (MGMT) - Enterprise Application Administration"/>
        <s v="8029 - Analyst II (IC) - Security Testing"/>
        <s v="8008 - Associate Manager (IC) - Cybersecurity"/>
        <s v="7892 - Senior Analyst (IC) - Revenue Accounting"/>
        <s v="8028 - Senior Analyst (IC) - AI Prompt Engineer"/>
        <s v="8026 - Associate Manager (IC) - AI Platform Developer"/>
        <s v="7375 - Manager - Quality Assurance"/>
        <s v="7376 - Associate Manager – Quality Assurance"/>
        <s v="7957 - Manager (MGMT) - Application Support"/>
        <s v="7323 - Senior Analyst (IC) - CS Upgrades Test Engineer"/>
        <s v="7737 - Chief of Staff"/>
        <s v="7928 - Senior Analyst (IC) - Cybersecurity IAM Engineering"/>
        <s v="8049 - Analyst II (IC) - End User Experience &amp; Engineering"/>
        <s v="8050 - Analyst II (IC) - Cybersecurity IAM Operations"/>
        <s v="7932 - Senior Analyst (IC) - CS Upgrades Software Solution"/>
        <s v="7404 - Manager (IC) – Application Support"/>
        <s v="8062 - Associate Manager (IC) - CS Engineering Services"/>
        <s v="8033 - Senior Analyst (IC) - Business Intelligence"/>
        <s v="7759 - Senior Manager (IC) - Cloud Site Reliability Engineering"/>
        <s v="7421 - Manager – Database Service Engineering"/>
        <s v="7428 - Manager (IC) – Cloud Engineer II"/>
        <s v="7805 - Co-Op (IC) - Financial Planning &amp; Analysis"/>
        <s v="8060 - EVP (MGMT) - Chief Product Officer"/>
        <s v="8043 - Senior Manager (MGMT) - Risk Management &amp; Controls Assurance"/>
        <s v="8041 - Associate Manager (IC) - Governance, Compliance &amp; Business Resilience"/>
        <s v="7462 - Senior Analyst (IC) - Business Analysis"/>
        <s v="8042 - Senior Analyst (IC) - Governance &amp; Compliance – Privacy"/>
        <s v="7449 - Senior Analyst - Software Solutions Engineering"/>
        <s v="7377 - Senior Analyst – Quality Assurance"/>
        <s v="7309 - Intern - Software Engineering"/>
      </sharedItems>
    </cacheField>
    <cacheField name="Request Completed Date" numFmtId="14">
      <sharedItems containsSemiMixedTypes="0" containsNonDate="0" containsDate="1" containsString="0" minDate="2023-08-15T00:00:00" maxDate="2025-12-06T00:00:00"/>
    </cacheField>
    <cacheField name="Recruiting Start Date" numFmtId="14">
      <sharedItems containsSemiMixedTypes="0" containsNonDate="0" containsDate="1" containsString="0" minDate="2023-08-15T00:00:00" maxDate="2026-01-22T00:00:00"/>
    </cacheField>
    <cacheField name="Target Hire Date" numFmtId="14">
      <sharedItems containsNonDate="0" containsDate="1" containsString="0" containsBlank="1" minDate="2025-03-31T00:00:00" maxDate="2026-04-28T00:00:00"/>
    </cacheField>
    <cacheField name="Count of Active Candidates" numFmtId="0">
      <sharedItems containsSemiMixedTypes="0" containsString="0" containsNumber="1" containsInteger="1" minValue="0" maxValue="522"/>
    </cacheField>
    <cacheField name="CF EE Latest Recruiting Stage" numFmtId="0">
      <sharedItems/>
    </cacheField>
    <cacheField name="Cost Center" numFmtId="0">
      <sharedItems/>
    </cacheField>
    <cacheField name="Cost Center Manager" numFmtId="0">
      <sharedItems/>
    </cacheField>
    <cacheField name="Cost Center2" numFmtId="0">
      <sharedItems containsBlank="1"/>
    </cacheField>
    <cacheField name="Employee ID" numFmtId="0">
      <sharedItems containsBlank="1"/>
    </cacheField>
    <cacheField name="Full Name" numFmtId="0">
      <sharedItems containsBlank="1"/>
    </cacheField>
    <cacheField name="Hire Reason" numFmtId="0">
      <sharedItems containsNonDate="0" containsString="0" containsBlank="1"/>
    </cacheField>
    <cacheField name="CF LRV Hire Date from Offer Details" numFmtId="14">
      <sharedItems containsNonDate="0" containsDate="1" containsString="0" containsBlank="1" minDate="2025-12-19T00:00:00" maxDate="2026-02-06T00:00:00"/>
    </cacheField>
    <cacheField name="Hiring Source" numFmtId="0">
      <sharedItems containsBlank="1"/>
    </cacheField>
    <cacheField name="Management Chain - Level 01" numFmtId="0">
      <sharedItems/>
    </cacheField>
    <cacheField name="Management Chain - Level 03" numFmtId="0">
      <sharedItems containsBlank="1"/>
    </cacheField>
    <cacheField name="Management Chain - Level 04" numFmtId="0">
      <sharedItems containsBlank="1"/>
    </cacheField>
    <cacheField name="All Managers in Management Chain" numFmtId="0">
      <sharedItems/>
    </cacheField>
    <cacheField name="Create Job Requisition Reason" numFmtId="0">
      <sharedItems containsBlank="1"/>
    </cacheField>
    <cacheField name="Justification" numFmtId="0">
      <sharedItems containsBlank="1" longText="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ngaraj, Yogeshwari" refreshedDate="46035.699408564818" createdVersion="8" refreshedVersion="8" minRefreshableVersion="3" recordCount="75" xr:uid="{4A0F5505-4C66-4DCC-977D-B7601AD22E4E}">
  <cacheSource type="worksheet">
    <worksheetSource ref="A1:AE1048576" sheet="Sheet1" r:id="rId2"/>
  </cacheSource>
  <cacheFields count="31">
    <cacheField name="REQID" numFmtId="0">
      <sharedItems containsBlank="1"/>
    </cacheField>
    <cacheField name="Job Posting Title" numFmtId="0">
      <sharedItems containsBlank="1"/>
    </cacheField>
    <cacheField name="Job Requisition Status" numFmtId="0">
      <sharedItems containsBlank="1"/>
    </cacheField>
    <cacheField name="Is Evergreen" numFmtId="0">
      <sharedItems containsNonDate="0" containsString="0" containsBlank="1"/>
    </cacheField>
    <cacheField name="Day(s) Open" numFmtId="0">
      <sharedItems containsBlank="1"/>
    </cacheField>
    <cacheField name="Job Requisition Primary Job Posting Location" numFmtId="0">
      <sharedItems containsBlank="1"/>
    </cacheField>
    <cacheField name="Country" numFmtId="0">
      <sharedItems containsBlank="1" count="7">
        <s v="United States of America"/>
        <m/>
        <s v="India"/>
        <s v="Australia"/>
        <s v="Poland"/>
        <s v="Canada"/>
        <s v="Belgium"/>
      </sharedItems>
    </cacheField>
    <cacheField name="Primary Recruiters" numFmtId="0">
      <sharedItems containsBlank="1"/>
    </cacheField>
    <cacheField name="Hiring Manager(s)" numFmtId="0">
      <sharedItems containsBlank="1"/>
    </cacheField>
    <cacheField name="Job Profile" numFmtId="0">
      <sharedItems containsBlank="1"/>
    </cacheField>
    <cacheField name="Request Completed Date" numFmtId="0">
      <sharedItems containsNonDate="0" containsDate="1" containsString="0" containsBlank="1" minDate="2021-10-21T00:00:00" maxDate="2026-01-07T00:00:00"/>
    </cacheField>
    <cacheField name="Recruiting Start Date" numFmtId="0">
      <sharedItems containsNonDate="0" containsDate="1" containsString="0" containsBlank="1" minDate="2021-10-19T00:00:00" maxDate="2026-01-06T00:00:00"/>
    </cacheField>
    <cacheField name="Target Hire Date" numFmtId="0">
      <sharedItems containsNonDate="0" containsDate="1" containsString="0" containsBlank="1" minDate="2022-01-01T00:00:00" maxDate="2026-02-03T00:00:00"/>
    </cacheField>
    <cacheField name="Total Base Pay" numFmtId="0">
      <sharedItems containsString="0" containsBlank="1" containsNumber="1" minValue="26" maxValue="18100000"/>
    </cacheField>
    <cacheField name="Currency" numFmtId="0">
      <sharedItems containsBlank="1"/>
    </cacheField>
    <cacheField name="Count of Active Candidates" numFmtId="0">
      <sharedItems containsString="0" containsBlank="1" containsNumber="1" containsInteger="1" minValue="1" maxValue="7"/>
    </cacheField>
    <cacheField name="CF EE Latest Recruiting Stage" numFmtId="0">
      <sharedItems containsBlank="1"/>
    </cacheField>
    <cacheField name="Cost Center" numFmtId="0">
      <sharedItems containsBlank="1"/>
    </cacheField>
    <cacheField name="Cost Center Manager" numFmtId="0">
      <sharedItems containsBlank="1"/>
    </cacheField>
    <cacheField name="Cost Center2" numFmtId="0">
      <sharedItems containsBlank="1"/>
    </cacheField>
    <cacheField name="Employee ID" numFmtId="0">
      <sharedItems containsBlank="1"/>
    </cacheField>
    <cacheField name="Full Name" numFmtId="0">
      <sharedItems containsBlank="1"/>
    </cacheField>
    <cacheField name="Hire Reason" numFmtId="0">
      <sharedItems containsNonDate="0" containsString="0" containsBlank="1"/>
    </cacheField>
    <cacheField name="CF LRV Hire Date from Offer Details" numFmtId="0">
      <sharedItems containsNonDate="0" containsDate="1" containsString="0" containsBlank="1" minDate="2025-09-01T00:00:00" maxDate="2026-01-13T00:00:00"/>
    </cacheField>
    <cacheField name="Hiring Source" numFmtId="0">
      <sharedItems containsBlank="1"/>
    </cacheField>
    <cacheField name="Management Chain - Level 01" numFmtId="0">
      <sharedItems containsBlank="1"/>
    </cacheField>
    <cacheField name="Management Chain - Level 03" numFmtId="0">
      <sharedItems containsBlank="1"/>
    </cacheField>
    <cacheField name="Management Chain - Level 04" numFmtId="0">
      <sharedItems containsBlank="1"/>
    </cacheField>
    <cacheField name="All Managers in Management Chain" numFmtId="0">
      <sharedItems containsBlank="1"/>
    </cacheField>
    <cacheField name="Create Job Requisition Reason" numFmtId="0">
      <sharedItems containsBlank="1"/>
    </cacheField>
    <cacheField name="Justification" numFmtId="0">
      <sharedItems containsBlank="1" longText="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ngaraj, Yogeshwari" refreshedDate="46106.381720138888" createdVersion="8" refreshedVersion="8" minRefreshableVersion="3" recordCount="9" xr:uid="{F861B6E1-F407-464B-AC54-FF50D94EEE55}">
  <cacheSource type="worksheet">
    <worksheetSource ref="A1:W10" sheet="DCT - All Job Reqs Pending Appr" r:id="rId2"/>
  </cacheSource>
  <cacheFields count="23">
    <cacheField name="Area/Sponsor" numFmtId="0">
      <sharedItems containsBlank="1"/>
    </cacheField>
    <cacheField name="Hiring Manager" numFmtId="0">
      <sharedItems containsBlank="1"/>
    </cacheField>
    <cacheField name="Target Location" numFmtId="0">
      <sharedItems containsBlank="1" count="4">
        <s v="Remote US"/>
        <s v="Remote India"/>
        <m/>
        <s v="Sydney Office"/>
      </sharedItems>
    </cacheField>
    <cacheField name="Cost Center" numFmtId="0">
      <sharedItems containsBlank="1" count="5">
        <s v="480 OnDemand SaaS Operations"/>
        <s v="400 Professional Services"/>
        <s v="260 Solution Architecture"/>
        <m/>
        <s v="475 CS Management, OnDemand CSMs and Onboarding"/>
      </sharedItems>
    </cacheField>
    <cacheField name="Company" numFmtId="0">
      <sharedItems containsBlank="1"/>
    </cacheField>
    <cacheField name="Worker Type" numFmtId="0">
      <sharedItems containsBlank="1"/>
    </cacheField>
    <cacheField name="Job Profile" numFmtId="0">
      <sharedItems containsBlank="1"/>
    </cacheField>
    <cacheField name="Job Title" numFmtId="0">
      <sharedItems containsBlank="1"/>
    </cacheField>
    <cacheField name="Worker Type2" numFmtId="0">
      <sharedItems containsBlank="1"/>
    </cacheField>
    <cacheField name="BP Category" numFmtId="0">
      <sharedItems containsBlank="1"/>
    </cacheField>
    <cacheField name="Initiating Person" numFmtId="0">
      <sharedItems/>
    </cacheField>
    <cacheField name="Date Initiated" numFmtId="14">
      <sharedItems containsSemiMixedTypes="0" containsNonDate="0" containsDate="1" containsString="0" minDate="2024-10-30T00:00:00" maxDate="2026-03-18T00:00:00"/>
    </cacheField>
    <cacheField name="BP Reason" numFmtId="0">
      <sharedItems containsBlank="1"/>
    </cacheField>
    <cacheField name="Transaction Status" numFmtId="0">
      <sharedItems/>
    </cacheField>
    <cacheField name="Sub-Status" numFmtId="0">
      <sharedItems containsBlank="1"/>
    </cacheField>
    <cacheField name="Job Requisition ID" numFmtId="0">
      <sharedItems containsBlank="1"/>
    </cacheField>
    <cacheField name="Justification" numFmtId="0">
      <sharedItems containsBlank="1"/>
    </cacheField>
    <cacheField name="Replacement For - Proposed" numFmtId="0">
      <sharedItems containsBlank="1"/>
    </cacheField>
    <cacheField name="Base Pay - Proposed" numFmtId="0">
      <sharedItems containsString="0" containsBlank="1" containsNumber="1" containsInteger="1" minValue="173400" maxValue="4708700"/>
    </cacheField>
    <cacheField name="Job Profile - Proposed" numFmtId="0">
      <sharedItems containsBlank="1"/>
    </cacheField>
    <cacheField name="Job Posting Title" numFmtId="0">
      <sharedItems containsBlank="1"/>
    </cacheField>
    <cacheField name="Awaiting Persons" numFmtId="0">
      <sharedItems containsBlank="1"/>
    </cacheField>
    <cacheField name="LRV - Primary Recruiter Proposed"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
  <r>
    <s v="Chris McCloskey (13804)"/>
    <s v="Chad Douglas (10535)"/>
    <x v="0"/>
    <x v="0"/>
    <s v="LE002 Duck Creek Technologies, LLC"/>
    <s v="Employee"/>
    <s v="7433 - Senior Manager - Software Configuration"/>
    <s v="Software Configuration Lead"/>
    <s v="Employee"/>
    <s v="New Position"/>
    <s v="Neura Da Rosa"/>
    <d v="2025-12-03T00:00:00"/>
    <s v="Unbudgeted"/>
    <s v="In Progress"/>
    <s v="Awaiting Action"/>
    <s v="REQID54925"/>
    <s v="This position is for PERM/Immigration purposes and has no financial impact in the company budget."/>
    <m/>
    <n v="158650"/>
    <s v="7433 - Senior Manager - Software Configuration"/>
    <s v="Software Configuration Lead"/>
    <s v="Francois Acerra_x000a__x000a_Lucy Wang_x000a__x000a_Mark Salerno"/>
    <s v="P1369 Sr. Manager, Talent Acquisition - Hari Thammineedi (12246)"/>
  </r>
  <r>
    <s v="Benjamin Dulieu (13088)"/>
    <s v="Marissa Truskot (13938)"/>
    <x v="1"/>
    <x v="1"/>
    <s v="LE002 Duck Creek Technologies, LLC"/>
    <s v="Employee"/>
    <s v="8046 - Analyst II (IC) - Governance &amp; Compliance"/>
    <s v="Governance &amp; Compliance Analyst"/>
    <s v="Employee"/>
    <s v="New Position"/>
    <s v="Marissa Truskot"/>
    <d v="2025-11-19T00:00:00"/>
    <s v="Budgeted"/>
    <s v="In Progress"/>
    <s v="Awaiting Action"/>
    <s v="REQID54912"/>
    <s v="New hire in our FY26 AOP to assist governance and compliance function."/>
    <m/>
    <n v="1800000"/>
    <s v="8046 - Analyst II (IC) - Governance &amp; Compliance"/>
    <s v="Governance &amp; Compliance Analyst"/>
    <s v="Benjamin Dulieu_x000a__x000a_Brittney Price"/>
    <s v="P4427 Manager, Talent Acquisition - Yogeshwari Rangaraj (14271)"/>
  </r>
  <r>
    <s v="Chris McCloskey (13804)"/>
    <s v="Mallary Reece (10438)"/>
    <x v="2"/>
    <x v="2"/>
    <s v="LE002 Duck Creek Technologies, LLC"/>
    <s v="Employee"/>
    <s v="7787 - Manager (IC) - Customer Success Management"/>
    <s v="Manager, Customer Success Management"/>
    <s v="Employee"/>
    <s v="Existing Position"/>
    <s v="Patti Doiron"/>
    <d v="2025-12-05T00:00:00"/>
    <s v="Backfill"/>
    <s v="In Progress"/>
    <s v="Awaiting Action"/>
    <s v="REQID54934"/>
    <s v="Backfill for Liz Jackson exiting 12/31/2025"/>
    <s v="Liz Jackson (14386)"/>
    <n v="128000"/>
    <s v="7787 - Manager (IC) - Customer Success Management"/>
    <s v="Manager, Customer Success Management"/>
    <s v="Brittney Price_x000a__x000a_Chris McCloskey"/>
    <s v="P1369 Sr. Manager, Talent Acquisition - Hari Thammineedi (12246)"/>
  </r>
  <r>
    <s v="Benjamin Dulieu (13088)"/>
    <s v="Mohan Gajula (13541)"/>
    <x v="1"/>
    <x v="3"/>
    <s v="LE008 Duck Creek Technologies India LLP"/>
    <s v="Employee"/>
    <s v="7137 - Senior Analyst (IC) - Facilities Operations"/>
    <s v="Senior Facilities Operations Analyst"/>
    <s v="Employee"/>
    <s v="New Position"/>
    <s v="Mohan Gajula"/>
    <d v="2025-12-05T00:00:00"/>
    <s v="Budgeted"/>
    <s v="In Progress"/>
    <s v="Awaiting Action"/>
    <s v="REQID54931"/>
    <s v="This is a position for Shraddha Dhatrak who is a contractor and we are converting her to an employee. Spoke to Yogeshwari regarding the position and that we have candidate identified already."/>
    <m/>
    <n v="1000000"/>
    <s v="7137 - Senior Analyst (IC) - Facilities Operations"/>
    <s v="Senior Facilities Operations Analyst"/>
    <s v="Alia O'Neill"/>
    <s v="P4427 Manager, Talent Acquisition - Yogeshwari Rangaraj (14271)"/>
  </r>
  <r>
    <s v="Chris McCloskey (13804)"/>
    <s v="Yogesh Bindra (10601)"/>
    <x v="3"/>
    <x v="0"/>
    <s v="LE007 Duck Creek Technologies Pty Ltd"/>
    <s v="Employee"/>
    <s v="7441 - Senior Manager - Application Architecture"/>
    <s v="Lead Application Architect"/>
    <s v="Employee"/>
    <s v="Existing Position"/>
    <s v="Michael Teixeira"/>
    <d v="2025-12-05T00:00:00"/>
    <s v="Backfill"/>
    <s v="In Progress"/>
    <s v="Awaiting Action"/>
    <s v="REQID54933"/>
    <s v="Replacement for Scott Dustin, repurposing for Australia"/>
    <s v="Scott Dustin (10972)"/>
    <n v="185000"/>
    <s v="7441 - Senior Manager - Application Architecture"/>
    <s v="Lead Application Architect"/>
    <s v="Brittney Price_x000a__x000a_Chris McCloskey"/>
    <s v="P1087 Talent Acquisition Sr Analyst - Dushyant Devlekar (11945)"/>
  </r>
  <r>
    <s v="Chris McCloskey (13804)"/>
    <s v="Rifat Fatima (13099)"/>
    <x v="1"/>
    <x v="0"/>
    <s v="LE008 Duck Creek Technologies India LLP"/>
    <s v="Employee"/>
    <s v="7437 - Analyst II (IC) - Software Configuration"/>
    <s v="Software Configuration Specialist I"/>
    <s v="Employee"/>
    <s v="Existing Position"/>
    <s v="Michael Teixeira"/>
    <d v="2025-12-04T00:00:00"/>
    <s v="Backfill"/>
    <s v="In Progress"/>
    <s v="Awaiting Action"/>
    <s v="REQID54928"/>
    <s v="Replacement for Dena Caron, repurposing to offshore"/>
    <s v="Dena Caron (10642)"/>
    <n v="1992900"/>
    <s v="7437 - Analyst II (IC) - Software Configuration"/>
    <s v="Software Configuration Specialist I"/>
    <s v="Francois Acerra_x000a__x000a_Lucy Wang_x000a__x000a_Mark Salerno"/>
    <s v="P1087 Talent Acquisition Sr Analyst - Dushyant Devlekar (11945)"/>
  </r>
  <r>
    <s v="Brittney Price (13617)"/>
    <s v="John Kelly (11112)"/>
    <x v="4"/>
    <x v="4"/>
    <s v="LE002 Duck Creek Technologies, LLC"/>
    <s v="Employee"/>
    <s v="8065 - Senior Manager (MGMT) - HR Operations"/>
    <s v="Senior Manager, HR Operations"/>
    <s v="Employee"/>
    <s v="New Position"/>
    <s v="John Kelly"/>
    <d v="2025-12-04T00:00:00"/>
    <s v="Budgeted"/>
    <s v="In Progress"/>
    <s v="Awaiting Action"/>
    <s v="REQID54926"/>
    <s v="Per discussion with Brittney, this role will fill the gap in HR Operations team to lead support Workday HCM projects, BI Dashboards, Integrations, broader HR systems administration, lead/manager HRIS team members."/>
    <m/>
    <n v="350000"/>
    <s v="8065 - Senior Manager (MGMT) - HR Operations"/>
    <s v="Senior Manager, HR Operations"/>
    <s v="Francois Acerra_x000a__x000a_Lucy Wang_x000a__x000a_Mark Salerno"/>
    <s v="P1369 Sr. Manager, Talent Acquisition - Hari Thammineedi (12246)"/>
  </r>
  <r>
    <s v="Chris McCloskey (13804)"/>
    <s v="Aakanksha Lunawat (13719)"/>
    <x v="1"/>
    <x v="0"/>
    <s v="LE008 Duck Creek Technologies India LLP"/>
    <s v="Employee"/>
    <s v="7377 - Senior Analyst – Quality Assurance"/>
    <s v="QA Tester II"/>
    <s v="Employee"/>
    <s v="Existing Position"/>
    <s v="Michael Teixeira"/>
    <d v="2025-12-04T00:00:00"/>
    <s v="Backfill"/>
    <s v="In Progress"/>
    <s v="Awaiting Action"/>
    <s v="REQID54927"/>
    <s v="Replacement for Dena Caron, repurposing to offshore"/>
    <s v="Dena Caron (10642)"/>
    <n v="2398400"/>
    <s v="7377 - Senior Analyst – Quality Assurance"/>
    <s v="QA Tester II"/>
    <s v="Francois Acerra_x000a__x000a_Lucy Wang_x000a__x000a_Mark Salerno"/>
    <s v="P1087 Talent Acquisition Sr Analyst - Dushyant Devlekar (11945)"/>
  </r>
  <r>
    <s v="Chris McCloskey (13804)"/>
    <s v="Vijeta Bhatia (10283)"/>
    <x v="1"/>
    <x v="0"/>
    <s v="LE008 Duck Creek Technologies India LLP"/>
    <s v="Employee"/>
    <s v="7462 - Senior Analyst (IC) - Business Analysis"/>
    <s v="Business Analyst II"/>
    <s v="Employee"/>
    <s v="Existing Position"/>
    <s v="Michael Teixeira"/>
    <d v="2025-12-04T00:00:00"/>
    <s v="Backfill"/>
    <s v="In Progress"/>
    <s v="Awaiting Action"/>
    <s v="REQID54929"/>
    <s v="Replacement for Dena Caron, repurposing to offshore"/>
    <s v="Dena Caron (10642)"/>
    <n v="3378100"/>
    <s v="7462 - Senior Analyst (IC) - Business Analysis"/>
    <s v="Business Analyst II"/>
    <s v="Francois Acerra_x000a__x000a_Lucy Wang_x000a__x000a_Mark Salerno"/>
    <s v="P1087 Talent Acquisition Sr Analyst - Dushyant Devlekar (11945)"/>
  </r>
  <r>
    <s v="Chris McCloskey (13804)"/>
    <s v="Pooja Arora (10683)"/>
    <x v="1"/>
    <x v="0"/>
    <s v="LE008 Duck Creek Technologies India LLP"/>
    <s v="Employee"/>
    <s v="7375 - Manager - Quality Assurance"/>
    <s v="QA Engineer"/>
    <s v="Employee"/>
    <s v="Existing Position"/>
    <s v="Michael Teixeira"/>
    <d v="2025-12-04T00:00:00"/>
    <s v="Backfill"/>
    <s v="In Progress"/>
    <s v="Awaiting Action"/>
    <s v="REQID54930"/>
    <s v="Replacement for Dena Caron, repurposing to offshore"/>
    <s v="Dena Caron (10642)"/>
    <n v="4075000"/>
    <s v="7375 - Manager - Quality Assurance"/>
    <s v="QA Engineer"/>
    <s v="Francois Acerra_x000a__x000a_Lucy Wang_x000a__x000a_Mark Salerno"/>
    <s v="P1087 Talent Acquisition Sr Analyst - Dushyant Devlekar (11945)"/>
  </r>
  <r>
    <s v="Chris McCloskey (13804)"/>
    <s v="Suhas Gosavi (11077)"/>
    <x v="5"/>
    <x v="0"/>
    <s v="LE008 Duck Creek Technologies India LLP"/>
    <s v="Employee"/>
    <s v="7437 - Analyst II (IC) - Software Configuration"/>
    <s v="Software Configuration Specialist I"/>
    <s v="Employee"/>
    <s v="Existing Position"/>
    <s v="Michael Teixeira"/>
    <d v="2025-12-03T00:00:00"/>
    <s v="Backfill"/>
    <s v="In Progress"/>
    <s v="Awaiting Action"/>
    <s v="REQID54923"/>
    <s v="Replacement for Surabhi Patil"/>
    <s v="Suhas Gosavi (11077)"/>
    <n v="1992900"/>
    <s v="7437 - Analyst II (IC) - Software Configuration"/>
    <s v="Software Configuration Specialist I"/>
    <s v="Francois Acerra_x000a__x000a_Lucy Wang_x000a__x000a_Mark Salerno"/>
    <s v="P1087 Talent Acquisition Sr Analyst - Dushyant Devlekar (11945)"/>
  </r>
  <r>
    <s v="Chris McCloskey (13804)"/>
    <s v="Spoorthi Shivamurthy (14436)"/>
    <x v="1"/>
    <x v="5"/>
    <s v="LE008 Duck Creek Technologies India LLP"/>
    <s v="Employee"/>
    <s v="7571 - Senior Analyst - GTM Operations"/>
    <s v="GTM Operations Analyst"/>
    <s v="Employee"/>
    <s v="New Position"/>
    <s v="Spoorthi Shivamurthy"/>
    <d v="2025-12-03T00:00:00"/>
    <s v="Budgeted"/>
    <s v="In Progress"/>
    <s v="Awaiting Action"/>
    <s v="REQID54924"/>
    <s v="This is a budgeted position for FY 26"/>
    <m/>
    <n v="2200000"/>
    <s v="7571 - Senior Analyst - GTM Operations"/>
    <s v="GTM Operations Analyst"/>
    <s v="Francois Acerra_x000a__x000a_Lucy Wang_x000a__x000a_Mark Salerno"/>
    <s v="P4427 Manager, Talent Acquisition - Yogeshwari Rangaraj (14271)"/>
  </r>
  <r>
    <s v="Brittney Price (13617)"/>
    <s v="Sahana Shankar (13979)"/>
    <x v="6"/>
    <x v="4"/>
    <s v="LE008 Duck Creek Technologies India LLP"/>
    <s v="Employee"/>
    <s v="7099 - Senior Manager (MGMT) - HR Business Partner"/>
    <s v="Senior Manager HRBP APAC"/>
    <s v="Employee"/>
    <s v="New Position"/>
    <s v="Sahana Shankar"/>
    <d v="2025-12-01T00:00:00"/>
    <s v="Budgeted"/>
    <s v="In Progress"/>
    <s v="Awaiting Action"/>
    <s v="REQID54921"/>
    <s v="Replacement for Amruta Gadag at a Senior Mgr role. As discussed and approved by Brittney"/>
    <s v="Amruta Gadag (Terminated) (12372)"/>
    <n v="4200000"/>
    <s v="7099 - Senior Manager (MGMT) - HR Business Partner"/>
    <s v="Senior Manager HRBP APAC"/>
    <s v="Francois Acerra_x000a__x000a_Lucy Wang_x000a__x000a_Mark Salerno"/>
    <s v="P4427 Manager, Talent Acquisition - Yogeshwari Rangaraj (14271)"/>
  </r>
  <r>
    <s v="Chris McCloskey (13804)"/>
    <s v="Jill Areheart (10536)"/>
    <x v="7"/>
    <x v="2"/>
    <s v="LE016 Effisoft SAS"/>
    <s v="Employee"/>
    <s v="8025 - Director (MGMT) - CS Management"/>
    <s v="Director, Customer Success Management Compliance product"/>
    <s v="Employee"/>
    <s v="Existing Position"/>
    <s v="Patti Doiron"/>
    <d v="2025-12-02T00:00:00"/>
    <s v="Backfill"/>
    <s v="In Progress"/>
    <s v="Awaiting Action"/>
    <s v="REQID54922"/>
    <s v="replacing Pierre Joseph Miguet with a contingent resource who has been working with R&amp;D"/>
    <s v="Pierre-Joseph Miguet (13397)"/>
    <n v="133312.5"/>
    <s v="8025 - Director (MGMT) - CS Management"/>
    <s v="Director, Customer Success Management Compliance product"/>
    <s v="Kabir Dhaliwal"/>
    <s v="P1369 Sr. Manager, Talent Acquisition - Hari Thammineedi (12246)"/>
  </r>
  <r>
    <m/>
    <s v="Hardeep Gulati (14415)"/>
    <x v="8"/>
    <x v="6"/>
    <s v="LE002 Duck Creek Technologies, LLC"/>
    <s v="Employee"/>
    <s v="7490 - Vice President - Product Management MGT"/>
    <s v="Vice President of Product Management"/>
    <s v="Employee"/>
    <s v="New Position"/>
    <s v="Hari Thammineedi"/>
    <d v="2025-12-01T00:00:00"/>
    <s v="Budgeted"/>
    <s v="In Progress"/>
    <s v="Awaiting Action"/>
    <s v="REQID54920"/>
    <s v="For VP, Product Management role"/>
    <m/>
    <n v="350000"/>
    <s v="7490 - Vice President - Product Management MGT"/>
    <s v="Vice President of Product Management"/>
    <s v="Renata Morgasi"/>
    <s v="P1369 Sr. Manager, Talent Acquisition - Hari Thammineedi (12246)"/>
  </r>
  <r>
    <s v="Tyler Jones (14354)"/>
    <s v="Daneen Heislitz (14060)"/>
    <x v="2"/>
    <x v="7"/>
    <s v="LE002 Duck Creek Technologies, LLC"/>
    <s v="Employee"/>
    <s v="7149 - Senior Manager (IC) - Product Marketing"/>
    <s v="Senior Product Marketing Manager"/>
    <s v="Employee"/>
    <s v="New Position"/>
    <s v="Daneen Heislitz"/>
    <d v="2025-11-26T00:00:00"/>
    <s v="Budgeted"/>
    <s v="In Progress"/>
    <s v="Awaiting Action"/>
    <s v="REQID54919"/>
    <s v="Hiring a Senior Product Marketing Manager since we are under staffed for the coverage needed across the products, as well as to increase the insurance industry knowledge lacking on the current team.  This position has been approved by Hardeep Gulati after reviewing the current state of the Product Marketing team with Tyler Jones."/>
    <m/>
    <n v="150000"/>
    <s v="7149 - Senior Manager (IC) - Product Marketing"/>
    <s v="Senior Product Marketing Manager"/>
    <s v="Francois Acerra_x000a__x000a_Lucy Wang_x000a__x000a_Mark Salerno"/>
    <s v="P1369 Sr. Manager, Talent Acquisition - Hari Thammineedi (12246)"/>
  </r>
  <r>
    <s v="Chris McCloskey (13804)"/>
    <s v="Raghuraj Singh (11614)"/>
    <x v="1"/>
    <x v="0"/>
    <s v="LE002 Duck Creek Technologies, LLC"/>
    <s v="Employee"/>
    <s v="7436 - Senior Analyst - Software Configuration"/>
    <s v="Software Configuration Specialist II"/>
    <s v="Employee"/>
    <s v="Administrative"/>
    <s v="Dushyant Devlekar"/>
    <d v="2025-12-04T00:00:00"/>
    <s v="Update Hiring Requirements (Recruiter Use Only)"/>
    <s v="In Progress"/>
    <s v="Awaiting Action"/>
    <m/>
    <s v="Replacement for Santosh Garje"/>
    <s v="Santosh Garje (11784)"/>
    <n v="2700000"/>
    <s v="7436 - Senior Analyst - Software Configuration"/>
    <s v="Software Configuration Specialist II"/>
    <s v="Francois Acerra_x000a__x000a_Lucy Wang_x000a__x000a_Mark Salerno"/>
    <m/>
  </r>
  <r>
    <m/>
    <m/>
    <x v="9"/>
    <x v="8"/>
    <m/>
    <m/>
    <m/>
    <m/>
    <m/>
    <m/>
    <s v="Alia O'Neill"/>
    <d v="2025-12-05T00:00:00"/>
    <m/>
    <s v="In Progress"/>
    <m/>
    <m/>
    <m/>
    <m/>
    <m/>
    <m/>
    <m/>
    <m/>
    <m/>
  </r>
  <r>
    <s v="Chris McCloskey (13804)"/>
    <s v="Santosh Garje (11784)"/>
    <x v="1"/>
    <x v="0"/>
    <s v="LE008 Duck Creek Technologies India LLP"/>
    <s v="Employee"/>
    <s v="7436 - Senior Analyst - Software Configuration"/>
    <s v="Software Configuration Specialist II"/>
    <s v="Employee"/>
    <s v="Administrative"/>
    <s v="Dushyant Devlekar"/>
    <d v="2025-12-04T00:00:00"/>
    <s v="Update Hiring Requirements (Recruiter Use Only)"/>
    <s v="In Progress"/>
    <s v="Awaiting Action"/>
    <m/>
    <s v="Replacement for Monty Hitchner, repurposing to offshore"/>
    <s v="Monty Hitchner (11285)"/>
    <n v="2639900"/>
    <s v="7436 - Senior Analyst - Software Configuration"/>
    <s v="Software Configuration Specialist II"/>
    <s v="Francois Acerra_x000a__x000a_Lucy Wang_x000a__x000a_Mark Salerno"/>
    <m/>
  </r>
  <r>
    <m/>
    <m/>
    <x v="9"/>
    <x v="8"/>
    <m/>
    <m/>
    <m/>
    <m/>
    <m/>
    <m/>
    <s v="Alia O'Neill"/>
    <d v="2025-12-05T00:00:00"/>
    <m/>
    <s v="In Progress"/>
    <m/>
    <m/>
    <m/>
    <m/>
    <m/>
    <m/>
    <m/>
    <m/>
    <m/>
  </r>
  <r>
    <s v="Jeff Dutton (13506)"/>
    <s v="Jennifer Armstrong (10414)"/>
    <x v="2"/>
    <x v="9"/>
    <s v="LE002 Duck Creek Technologies, LLC"/>
    <s v="Employee"/>
    <s v="7527 - Senior Director - Software Architect"/>
    <s v="Senior Director, Architecture"/>
    <s v="Employee"/>
    <s v="New Position"/>
    <s v="Lisa M Merlob"/>
    <d v="2025-09-30T00:00:00"/>
    <s v="Budgeted"/>
    <s v="In Progress"/>
    <s v="Awaiting Action"/>
    <s v="REQID54849"/>
    <s v="Net New - Leader of Arch_x000a_In AOP as REQID_US_04"/>
    <m/>
    <n v="260000"/>
    <s v="7527 - Senior Director - Software Architect"/>
    <s v="Senior Director, Architecture"/>
    <s v="Alia O'Neill"/>
    <s v="P2580 Talent Acquisition Partner - Holly Solomon (13236)"/>
  </r>
  <r>
    <s v="William Magowan (10415)"/>
    <s v="Abby M. Anderegg (10423)"/>
    <x v="2"/>
    <x v="10"/>
    <s v="LE002 Duck Creek Technologies, LLC"/>
    <s v="Employee"/>
    <s v="7119 - Senior Manager (MGMT) - Solution Consulting"/>
    <s v="Senior Manager, Solution Consulting - Reinsurance"/>
    <s v="Employee"/>
    <s v="Administrative"/>
    <s v="Hari Thammineedi"/>
    <d v="2025-11-25T00:00:00"/>
    <s v="Update Hiring Requirements (Recruiter Use Only)"/>
    <s v="In Progress"/>
    <s v="Awaiting Action"/>
    <m/>
    <s v="Backfill for Vandana Sharma. Please note that Vandana's exit salary was $198k but for this role we are budgeting $160k for now. If needed, we will use the full budget."/>
    <m/>
    <n v="160000"/>
    <s v="7119 - Senior Manager (MGMT) - Solution Consulting"/>
    <s v="Senior Manager, Solution Consulting - Reinsurance"/>
    <s v="Francois Acerra_x000a__x000a_Lucy Wang_x000a__x000a_Mark Salerno"/>
    <m/>
  </r>
  <r>
    <m/>
    <m/>
    <x v="9"/>
    <x v="8"/>
    <m/>
    <m/>
    <m/>
    <m/>
    <m/>
    <m/>
    <s v="Alia O'Neill"/>
    <d v="2025-12-01T00:00:00"/>
    <m/>
    <s v="In Progress"/>
    <m/>
    <m/>
    <m/>
    <m/>
    <m/>
    <m/>
    <m/>
    <m/>
    <m/>
  </r>
  <r>
    <s v="Chris McCloskey (13804)"/>
    <s v="Sujit Komal Gupta (10056)"/>
    <x v="1"/>
    <x v="0"/>
    <s v="LE008 Duck Creek Technologies India LLP"/>
    <s v="Employee"/>
    <s v="7436 - Senior Analyst - Software Configuration"/>
    <s v="Software Configuration Specialist II"/>
    <s v="Employee"/>
    <s v="Administrative"/>
    <s v="Dushyant Devlekar"/>
    <d v="2025-12-04T00:00:00"/>
    <s v="Update Hiring Requirements (Recruiter Use Only)"/>
    <s v="In Progress"/>
    <s v="Awaiting Action"/>
    <m/>
    <s v="Replacement for Shubham Acharya"/>
    <s v="Shubham Acharya (13162)"/>
    <n v="2639900"/>
    <s v="7436 - Senior Analyst - Software Configuration"/>
    <s v="Software Configuration Specialist II"/>
    <s v="Francois Acerra_x000a__x000a_Lucy Wang_x000a__x000a_Mark Salerno"/>
    <m/>
  </r>
  <r>
    <m/>
    <m/>
    <x v="9"/>
    <x v="8"/>
    <m/>
    <m/>
    <m/>
    <m/>
    <m/>
    <m/>
    <s v="Alia O'Neill"/>
    <d v="2025-12-05T00:00:00"/>
    <m/>
    <s v="In Progress"/>
    <m/>
    <m/>
    <m/>
    <m/>
    <m/>
    <m/>
    <m/>
    <m/>
    <m/>
  </r>
  <r>
    <s v="Chris McCloskey (13804)"/>
    <s v="Randall Hirsch (10541)"/>
    <x v="1"/>
    <x v="2"/>
    <s v="LE008 Duck Creek Technologies India LLP"/>
    <s v="Employee"/>
    <s v="7787 - Manager - Customer Success Management"/>
    <s v="Manager - Customer Success Management"/>
    <s v="Employee"/>
    <s v="Administrative"/>
    <s v="Diksha Pradhan"/>
    <d v="2024-10-30T00:00:00"/>
    <s v="Update Hiring Requirements (Recruiter Use Only)"/>
    <s v="In Progress"/>
    <s v="Awaiting Action"/>
    <m/>
    <s v="Replace existing CSM (SWATI HIWARE - 12833)"/>
    <s v="SWATI HIWARE (12833)"/>
    <n v="2930400"/>
    <s v="7787 - Manager - Customer Success Management"/>
    <s v="Manager - Customer Success Management"/>
    <s v="Diksha Pradhan"/>
    <m/>
  </r>
  <r>
    <m/>
    <m/>
    <x v="9"/>
    <x v="8"/>
    <m/>
    <m/>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1">
  <r>
    <s v="REQID53869"/>
    <s v="Senior Software Engineer"/>
    <s v="Open"/>
    <s v="Yes"/>
    <s v="846"/>
    <s v="Remote Mumbai"/>
    <x v="0"/>
    <s v="Diksha Pradhan (12759)"/>
    <s v="Jennifer Armstrong (10414)"/>
    <x v="0"/>
    <d v="2023-08-15T00:00:00"/>
    <d v="2023-08-15T00:00:00"/>
    <m/>
    <n v="71"/>
    <s v="Review"/>
    <s v="551 Engineering Grow"/>
    <s v="Jennifer Armstrong (10414)"/>
    <m/>
    <m/>
    <m/>
    <m/>
    <m/>
    <m/>
    <s v="Hardeep Gulati (14415)"/>
    <s v="Jeff Dutton (13506)"/>
    <m/>
    <s v="Hardeep Gulati (14415)_x000a__x000a_Jeff Dutton (13506)"/>
    <m/>
    <m/>
  </r>
  <r>
    <s v="REQID53870"/>
    <s v="Principal Software Architect"/>
    <s v="Open"/>
    <s v="Yes"/>
    <s v="845"/>
    <s v="Remote Mumbai"/>
    <x v="0"/>
    <s v="Diksha Pradhan (12759)"/>
    <s v="Jennifer Armstrong (10414)"/>
    <x v="1"/>
    <d v="2023-08-16T00:00:00"/>
    <d v="2023-08-16T00:00:00"/>
    <m/>
    <n v="72"/>
    <s v="Review"/>
    <s v="551 Engineering Grow"/>
    <s v="Jennifer Armstrong (10414)"/>
    <m/>
    <m/>
    <m/>
    <m/>
    <m/>
    <m/>
    <s v="Hardeep Gulati (14415)"/>
    <s v="Jeff Dutton (13506)"/>
    <m/>
    <s v="Hardeep Gulati (14415)_x000a__x000a_Jeff Dutton (13506)"/>
    <m/>
    <m/>
  </r>
  <r>
    <s v="REQID54595"/>
    <s v="Workday Administrator and Developer"/>
    <s v="Open"/>
    <m/>
    <s v="152"/>
    <s v="Remote India"/>
    <x v="0"/>
    <s v="Jaya Joshi (13426)"/>
    <s v="Kevin Bernard (14357)"/>
    <x v="2"/>
    <d v="2025-01-10T00:00:00"/>
    <d v="2025-07-09T00:00:00"/>
    <d v="2026-01-13T00:00:00"/>
    <n v="1"/>
    <s v="Ready for Hire"/>
    <s v="152 Data Enterprise Analytics"/>
    <s v="Benjamin Dulieu (13088)"/>
    <s v="152 Data Enterprise Analytics"/>
    <s v="14439"/>
    <s v="Vijay Krishna Dwaraka Bhamidipati"/>
    <m/>
    <d v="2026-01-13T00:00:00"/>
    <s v="Duck Creek Recruiter"/>
    <s v="Hardeep Gulati (14415)"/>
    <s v="Benjamin Dulieu (13088)"/>
    <m/>
    <s v="Benjamin Dulieu (13088)_x000a__x000a_Hardeep Gulati (14415)"/>
    <s v="Existing Position &gt; Backfill"/>
    <s v="Backfill for Abhishek Tripathi in India"/>
  </r>
  <r>
    <s v="REQID54652"/>
    <s v="Software Configuration Lead"/>
    <s v="Open"/>
    <m/>
    <s v="282"/>
    <s v="Remote US"/>
    <x v="1"/>
    <s v="Neura Da Rosa (11405)"/>
    <s v="Chad Douglas (10535)"/>
    <x v="3"/>
    <d v="2025-03-14T00:00:00"/>
    <d v="2025-03-01T00:00:00"/>
    <d v="2025-03-31T00:00:00"/>
    <n v="2"/>
    <s v="Review"/>
    <s v="400 Professional Services"/>
    <s v="Michael Teixeira (10388)"/>
    <s v="400 Professional Services"/>
    <m/>
    <m/>
    <m/>
    <m/>
    <m/>
    <s v="Hardeep Gulati (14415)"/>
    <s v="Chris McCloskey (13804)"/>
    <s v="David Nuernberg (12843)"/>
    <s v="Anthony Polcari (11015)_x000a__x000a_Chris McCloskey (13804)_x000a__x000a_David Nuernberg (12843)_x000a__x000a_Hardeep Gulati (14415)"/>
    <s v="New Position &gt; Unbudgeted"/>
    <s v="Position is for PERM application - Immigration"/>
  </r>
  <r>
    <s v="REQID54718"/>
    <s v="Software Engineer II"/>
    <s v="Open"/>
    <m/>
    <s v="202"/>
    <s v="Remote India"/>
    <x v="0"/>
    <s v="Dushyant Devlekar (11945)"/>
    <s v="Amit Sharma (14300)"/>
    <x v="4"/>
    <d v="2025-05-06T00:00:00"/>
    <d v="2025-05-20T00:00:00"/>
    <d v="2025-10-29T00:00:00"/>
    <n v="24"/>
    <s v="Interview"/>
    <s v="551 Engineering Grow"/>
    <s v="Jennifer Armstrong (10414)"/>
    <s v="551 Engineering Grow"/>
    <m/>
    <m/>
    <m/>
    <m/>
    <m/>
    <s v="Hardeep Gulati (14415)"/>
    <s v="Jeff Dutton (13506)"/>
    <s v="Jennifer Armstrong (10414)"/>
    <s v="Hardeep Gulati (14415)_x000a__x000a_Jay Pierson (14423)_x000a__x000a_Jeff Dutton (13506)_x000a__x000a_Jennifer Armstrong (10414)_x000a__x000a_Paul Robak (10386)"/>
    <s v="Existing Position &gt; Backfill"/>
    <s v="Duplicate of REQID54448 which was closed during initial 6+6 reduction exercise but then re-funded which required creating new requisitiosn._x000a__x000a_In plan listed as REQID_India_L&amp;S_07 to REQID_India_L&amp;S_11. Some levels and salaries have changed but across all 6 the budget is the same. Billing COE. This is 3 of 5"/>
  </r>
  <r>
    <s v="REQID54728"/>
    <s v="Senior Software Engineer"/>
    <s v="Open"/>
    <m/>
    <s v="217"/>
    <s v="Remote India"/>
    <x v="0"/>
    <s v="Jaya Joshi (13426)"/>
    <s v="Saurabh Singh Shaktawat (10919)"/>
    <x v="5"/>
    <d v="2025-05-06T00:00:00"/>
    <d v="2025-05-05T00:00:00"/>
    <d v="2026-02-23T00:00:00"/>
    <n v="1"/>
    <s v="Background Check"/>
    <s v="551 Engineering Grow"/>
    <s v="Jennifer Armstrong (10414)"/>
    <s v="551 Engineering Grow"/>
    <m/>
    <m/>
    <m/>
    <m/>
    <m/>
    <s v="Hardeep Gulati (14415)"/>
    <s v="Jeff Dutton (13506)"/>
    <s v="Jennifer Armstrong (10414)"/>
    <s v="Greg James (13741)_x000a__x000a_Hardeep Gulati (14415)_x000a__x000a_Jeff Dutton (13506)_x000a__x000a_Jennifer Armstrong (10414)"/>
    <s v="Existing Position &gt; Backfill"/>
    <s v="Duplicate of REQID54405 which was closed during initial 6+6 reduction exercise but then re-funded which required creating new requisitions. Switched HM from Gowri/Surabh to Greg_x000a__x000a_Need to put back to senior manager level. The candidate that we reduced this to SE2 for has reneged and now have another candidate Vighneshwar Bhat_x000a_. Pull funding from debit credit._x000a__x000a_Shakti Sharma started and immediately resigned. This is microservices. Need to increase budget to 50% for microservices. Please pull from debit/credit"/>
  </r>
  <r>
    <s v="REQID54723"/>
    <s v="Senior Manager"/>
    <s v="Open"/>
    <m/>
    <s v="200"/>
    <s v="Remote India"/>
    <x v="0"/>
    <s v="Diksha Pradhan (12759)"/>
    <s v="Saurabh Singh Shaktawat (10919)"/>
    <x v="6"/>
    <d v="2025-05-06T00:00:00"/>
    <d v="2025-05-22T00:00:00"/>
    <d v="2025-09-19T00:00:00"/>
    <n v="1"/>
    <s v="Background Check"/>
    <s v="551 Engineering Grow"/>
    <s v="Jennifer Armstrong (10414)"/>
    <s v="551 Engineering Grow"/>
    <m/>
    <m/>
    <m/>
    <m/>
    <m/>
    <s v="Hardeep Gulati (14415)"/>
    <s v="Jeff Dutton (13506)"/>
    <s v="Jennifer Armstrong (10414)"/>
    <s v="Greg James (13741)_x000a__x000a_Hardeep Gulati (14415)_x000a__x000a_Jeff Dutton (13506)_x000a__x000a_Jennifer Armstrong (10414)"/>
    <s v="Existing Position &gt; Backfill"/>
    <s v="Ready to make offer but need to increase from 49.4 to 56M INR. To fund this we are reducing 54721 to manager level and down to 44M INR._x000a__x000a__x000a_Duplicate of REQID54358 which was closed during initial 6+6 reduction exercise but then re-funded which required creating new requisitions._x000a__x000a_cancelled 54173 and 54175 and instead opening this and a software engineer 1 role with that budget. Increasing as need bangalore/chennai location and 75% to fill. Please pull from debit credit"/>
  </r>
  <r>
    <s v="REQID54716"/>
    <s v=".NET Software Engineer"/>
    <s v="Open"/>
    <m/>
    <s v="207"/>
    <s v="Remote India"/>
    <x v="0"/>
    <s v="Jaya Joshi (13426)"/>
    <s v="Saurabh Singh Shaktawat (10919)"/>
    <x v="7"/>
    <d v="2025-05-15T00:00:00"/>
    <d v="2025-05-15T00:00:00"/>
    <d v="2026-01-21T00:00:00"/>
    <n v="1"/>
    <s v="Background Check"/>
    <s v="551 Engineering Grow"/>
    <s v="Jennifer Armstrong (10414)"/>
    <s v="551 Engineering Grow"/>
    <m/>
    <m/>
    <m/>
    <m/>
    <m/>
    <s v="Hardeep Gulati (14415)"/>
    <s v="Jeff Dutton (13506)"/>
    <s v="Jennifer Armstrong (10414)"/>
    <s v="Greg James (13741)_x000a__x000a_Hardeep Gulati (14415)_x000a__x000a_Jeff Dutton (13506)_x000a__x000a_Jennifer Armstrong (10414)"/>
    <s v="Existing Position &gt; Backfill"/>
    <s v="Increasing salary for candidate Manu who has a higher offer - pull from debit credit•_x0009_Current Approved Budget: 31,55,500.00/$ 37,235_x000a_•_x0009_Proposed Base Pay: INR 36,50,000/$  43070_x000a_•_x0009_Budget Elevation Required: INR 4,94500/$5835_x000a_ _x000a_Duplicate of REQID54528 which was closed during initial 6+6 reduction exercise but then re-funded which required creating new requisitiosn._x000a__x000a_10 additional engineers to assist with unblocking defects for customer go lives.    These are new FTEs and are not included in the current AOP."/>
  </r>
  <r>
    <s v="REQID54758"/>
    <s v="User Experience Associate"/>
    <s v="Open"/>
    <m/>
    <s v="153"/>
    <s v="Remote India"/>
    <x v="0"/>
    <s v="Reenu Sura (12333)"/>
    <s v="Ratnesh Nirmal Bharos (10123)"/>
    <x v="8"/>
    <d v="2025-07-07T00:00:00"/>
    <d v="2025-07-08T00:00:00"/>
    <d v="2025-12-01T00:00:00"/>
    <n v="1"/>
    <s v="Ready for Hire"/>
    <s v="400 Professional Services"/>
    <s v="Michael Teixeira (10388)"/>
    <s v="400 Professional Services"/>
    <m/>
    <m/>
    <m/>
    <m/>
    <m/>
    <s v="Hardeep Gulati (14415)"/>
    <s v="Chris McCloskey (13804)"/>
    <s v="David Nuernberg (12843)"/>
    <s v="Achyutram Murthy (10463)_x000a__x000a_Chris McCloskey (13804)_x000a__x000a_David Nuernberg (12843)_x000a__x000a_Hardeep Gulati (14415)_x000a__x000a_Naveen Upadhyay (14329)_x000a__x000a_Vinay Patil (10729)"/>
    <s v="Existing Position &gt; Backfill"/>
    <s v="Replacement for Tejas Gavade (remaining budget)"/>
  </r>
  <r>
    <s v="REQID54777"/>
    <s v="Senior Project Manager"/>
    <s v="Open"/>
    <m/>
    <s v="73"/>
    <s v="Sydney Office"/>
    <x v="2"/>
    <s v="Diksha Pradhan (12759)"/>
    <s v="Kapil Sharma (10439)"/>
    <x v="9"/>
    <d v="2025-07-24T00:00:00"/>
    <d v="2025-09-26T00:00:00"/>
    <d v="2026-01-26T00:00:00"/>
    <n v="225"/>
    <s v="Interview"/>
    <s v="400 Professional Services"/>
    <s v="Michael Teixeira (10388)"/>
    <s v="400 Professional Services"/>
    <m/>
    <m/>
    <m/>
    <m/>
    <m/>
    <s v="Hardeep Gulati (14415)"/>
    <s v="Chris McCloskey (13804)"/>
    <s v="David Nuernberg (12843)"/>
    <s v="Chris McCloskey (13804)_x000a__x000a_David Nuernberg (12843)_x000a__x000a_Hardeep Gulati (14415)_x000a__x000a_Naveen Upadhyay (14329)"/>
    <s v="Existing Position &gt; Backfill"/>
    <s v="Replacement for Brough Cooper"/>
  </r>
  <r>
    <s v="REQID54782"/>
    <s v="Software Configuration Associate"/>
    <s v="Open"/>
    <m/>
    <s v="131"/>
    <s v="Mumbai Office"/>
    <x v="0"/>
    <s v="Diksha Pradhan (12759)"/>
    <s v="Vikas Lalotra (11576)"/>
    <x v="10"/>
    <d v="2025-07-30T00:00:00"/>
    <d v="2025-07-30T00:00:00"/>
    <d v="2026-01-05T00:00:00"/>
    <n v="1"/>
    <s v="Ready for Hire"/>
    <s v="400 Professional Services"/>
    <s v="Michael Teixeira (10388)"/>
    <s v="400 Professional Services"/>
    <s v="14445"/>
    <s v="Harsh Khanvilkar"/>
    <m/>
    <d v="2026-01-05T00:00:00"/>
    <s v="LinkedIn"/>
    <s v="Hardeep Gulati (14415)"/>
    <s v="Chris McCloskey (13804)"/>
    <s v="David Nuernberg (12843)"/>
    <s v="Chris McCloskey (13804)_x000a__x000a_David Nuernberg (12843)_x000a__x000a_Deepak Sivaraman (10538)_x000a__x000a_Hardeep Gulati (14415)_x000a__x000a_Naveen Upadhyay (14329)_x000a__x000a_Raghuraj Singh (11614)"/>
    <s v="New Position &gt; Budgeted"/>
    <s v="TAP Program"/>
  </r>
  <r>
    <s v="REQID54783"/>
    <s v="Software Configuration Associate"/>
    <s v="Open"/>
    <m/>
    <s v="131"/>
    <s v="Mumbai Office"/>
    <x v="0"/>
    <s v="Dushyant Devlekar (11945)"/>
    <s v="Moucktik Mukherjee (10084)"/>
    <x v="10"/>
    <d v="2025-07-30T00:00:00"/>
    <d v="2025-07-30T00:00:00"/>
    <d v="2026-01-05T00:00:00"/>
    <n v="1"/>
    <s v="Ready for Hire"/>
    <s v="400 Professional Services"/>
    <s v="Michael Teixeira (10388)"/>
    <s v="400 Professional Services"/>
    <s v="14419"/>
    <s v="Aditya Mane"/>
    <m/>
    <d v="2026-01-05T00:00:00"/>
    <s v="Duck Creek Career Site"/>
    <s v="Hardeep Gulati (14415)"/>
    <s v="Chris McCloskey (13804)"/>
    <s v="David Nuernberg (12843)"/>
    <s v="Chris McCloskey (13804)_x000a__x000a_David Nuernberg (12843)_x000a__x000a_Hardeep Gulati (14415)_x000a__x000a_Jignesh Sanghani (10468)_x000a__x000a_Naveen Upadhyay (14329)"/>
    <s v="New Position &gt; Budgeted"/>
    <s v="TAP Program"/>
  </r>
  <r>
    <s v="REQID54784"/>
    <s v="Software Configuration Associate"/>
    <s v="Open"/>
    <m/>
    <s v="131"/>
    <s v="Mumbai Office"/>
    <x v="0"/>
    <s v="Dushyant Devlekar (11945)"/>
    <s v="Moucktik Mukherjee (10084)"/>
    <x v="10"/>
    <d v="2025-07-30T00:00:00"/>
    <d v="2025-07-30T00:00:00"/>
    <d v="2026-01-05T00:00:00"/>
    <n v="1"/>
    <s v="Ready for Hire"/>
    <s v="400 Professional Services"/>
    <s v="Michael Teixeira (10388)"/>
    <s v="400 Professional Services"/>
    <s v="14433"/>
    <s v="Kirti Tiwari"/>
    <m/>
    <d v="2026-01-05T00:00:00"/>
    <s v="Duck Creek Career Site"/>
    <s v="Hardeep Gulati (14415)"/>
    <s v="Chris McCloskey (13804)"/>
    <s v="David Nuernberg (12843)"/>
    <s v="Chris McCloskey (13804)_x000a__x000a_David Nuernberg (12843)_x000a__x000a_Hardeep Gulati (14415)_x000a__x000a_Jignesh Sanghani (10468)_x000a__x000a_Naveen Upadhyay (14329)"/>
    <s v="New Position &gt; Budgeted"/>
    <s v="TAP Program"/>
  </r>
  <r>
    <s v="REQID54785"/>
    <s v="Software Configuration Associate"/>
    <s v="Open"/>
    <m/>
    <s v="131"/>
    <s v="Mumbai Office"/>
    <x v="0"/>
    <s v="Dushyant Devlekar (11945)"/>
    <s v="Amita Ajay Bhanose (10209)"/>
    <x v="10"/>
    <d v="2025-07-30T00:00:00"/>
    <d v="2025-07-30T00:00:00"/>
    <d v="2026-01-05T00:00:00"/>
    <n v="1"/>
    <s v="Ready for Hire"/>
    <s v="400 Professional Services"/>
    <s v="Michael Teixeira (10388)"/>
    <s v="400 Professional Services"/>
    <s v="14420"/>
    <s v="Pradeep Bind"/>
    <m/>
    <d v="2026-01-05T00:00:00"/>
    <s v="Other"/>
    <s v="Hardeep Gulati (14415)"/>
    <s v="Chris McCloskey (13804)"/>
    <s v="David Nuernberg (12843)"/>
    <s v="Chris McCloskey (13804)_x000a__x000a_David Nuernberg (12843)_x000a__x000a_Hardeep Gulati (14415)_x000a__x000a_Jignesh Sanghani (10468)_x000a__x000a_Naveen Upadhyay (14329)"/>
    <s v="New Position &gt; Budgeted"/>
    <s v="TAP Program"/>
  </r>
  <r>
    <s v="REQID54786"/>
    <s v="Software Configuration Associate"/>
    <s v="Open"/>
    <m/>
    <s v="131"/>
    <s v="Mumbai Office"/>
    <x v="0"/>
    <s v="Dushyant Devlekar (11945)"/>
    <s v="Virendra Vishram Ahir (10008)"/>
    <x v="10"/>
    <d v="2025-07-30T00:00:00"/>
    <d v="2025-07-30T00:00:00"/>
    <d v="2026-01-05T00:00:00"/>
    <n v="1"/>
    <s v="Ready for Hire"/>
    <s v="400 Professional Services"/>
    <s v="Michael Teixeira (10388)"/>
    <s v="400 Professional Services"/>
    <s v="14417"/>
    <s v="Pranjal Nagarale"/>
    <m/>
    <d v="2026-01-05T00:00:00"/>
    <s v="College Career Site"/>
    <s v="Hardeep Gulati (14415)"/>
    <s v="Chris McCloskey (13804)"/>
    <s v="David Nuernberg (12843)"/>
    <s v="Aditi Roy (10563)_x000a__x000a_Chris McCloskey (13804)_x000a__x000a_David Nuernberg (12843)_x000a__x000a_Deepak Sivaraman (10538)_x000a__x000a_Hardeep Gulati (14415)_x000a__x000a_Naveen Upadhyay (14329)"/>
    <s v="New Position &gt; Budgeted"/>
    <s v="TAP Program"/>
  </r>
  <r>
    <s v="REQID54787"/>
    <s v="Software Configuration Associate"/>
    <s v="Open"/>
    <m/>
    <s v="131"/>
    <s v="Mumbai Office"/>
    <x v="0"/>
    <s v="Diksha Pradhan (12759)"/>
    <s v="Jichendra Sahu (Jiten) (13757)"/>
    <x v="10"/>
    <d v="2025-07-30T00:00:00"/>
    <d v="2025-07-30T00:00:00"/>
    <d v="2026-01-05T00:00:00"/>
    <n v="1"/>
    <s v="Ready for Hire"/>
    <s v="400 Professional Services"/>
    <s v="Michael Teixeira (10388)"/>
    <s v="400 Professional Services"/>
    <s v="14446"/>
    <s v="Rudrang Darade"/>
    <m/>
    <d v="2026-01-05T00:00:00"/>
    <s v="Other"/>
    <s v="Hardeep Gulati (14415)"/>
    <s v="Chris McCloskey (13804)"/>
    <s v="David Nuernberg (12843)"/>
    <s v="Aditi Roy (10563)_x000a__x000a_Chris McCloskey (13804)_x000a__x000a_David Nuernberg (12843)_x000a__x000a_Deepak Sivaraman (10538)_x000a__x000a_Hardeep Gulati (14415)_x000a__x000a_Naveen Upadhyay (14329)_x000a__x000a_Vishal Konge (13415)"/>
    <s v="New Position &gt; Budgeted"/>
    <s v="TAP Program"/>
  </r>
  <r>
    <s v="REQID54789"/>
    <s v="Software Configuration Associate"/>
    <s v="Open"/>
    <m/>
    <s v="131"/>
    <s v="Mumbai Office"/>
    <x v="0"/>
    <s v="Dushyant Devlekar (11945)"/>
    <s v="Sunil Kumar Singh (10906)"/>
    <x v="10"/>
    <d v="2025-07-30T00:00:00"/>
    <d v="2025-07-30T00:00:00"/>
    <d v="2026-01-05T00:00:00"/>
    <n v="1"/>
    <s v="Ready for Hire"/>
    <s v="400 Professional Services"/>
    <s v="Michael Teixeira (10388)"/>
    <s v="400 Professional Services"/>
    <s v="14418"/>
    <s v="Shubham Pote"/>
    <m/>
    <d v="2026-01-05T00:00:00"/>
    <s v="Career Fairs"/>
    <s v="Hardeep Gulati (14415)"/>
    <s v="Chris McCloskey (13804)"/>
    <s v="David Nuernberg (12843)"/>
    <s v="Chris McCloskey (13804)_x000a__x000a_David Nuernberg (12843)_x000a__x000a_Hardeep Gulati (14415)_x000a__x000a_Koustubh Tilak (10469)_x000a__x000a_Naveen Upadhyay (14329)"/>
    <s v="New Position &gt; Budgeted"/>
    <s v="TAP Program"/>
  </r>
  <r>
    <s v="REQID54790"/>
    <s v="Software Configuration Associate"/>
    <s v="Open"/>
    <m/>
    <s v="131"/>
    <s v="Mumbai Office"/>
    <x v="0"/>
    <s v="Diksha Pradhan (12759)"/>
    <s v="Rohan Laghate (11948)"/>
    <x v="10"/>
    <d v="2025-07-30T00:00:00"/>
    <d v="2025-07-30T00:00:00"/>
    <d v="2026-01-05T00:00:00"/>
    <n v="1"/>
    <s v="Ready for Hire"/>
    <s v="400 Professional Services"/>
    <s v="Michael Teixeira (10388)"/>
    <s v="400 Professional Services"/>
    <s v="14416"/>
    <s v="Saket Kharche"/>
    <m/>
    <d v="2026-01-05T00:00:00"/>
    <s v="College Career Site"/>
    <s v="Hardeep Gulati (14415)"/>
    <s v="Chris McCloskey (13804)"/>
    <s v="David Nuernberg (12843)"/>
    <s v="Achyutram Murthy (10463)_x000a__x000a_Chris McCloskey (13804)_x000a__x000a_David Nuernberg (12843)_x000a__x000a_Hardeep Gulati (14415)_x000a__x000a_Manish Keshwanand Rokde (10597)_x000a__x000a_Naveen Upadhyay (14329)"/>
    <s v="New Position &gt; Budgeted"/>
    <s v="TAP Program"/>
  </r>
  <r>
    <s v="REQID54793"/>
    <s v="Senior Vice President, Corporate Development"/>
    <s v="Open"/>
    <m/>
    <s v="131"/>
    <s v="Remote US"/>
    <x v="1"/>
    <s v="Holly Solomon (13236)"/>
    <s v="Teresa Kim (13865)"/>
    <x v="11"/>
    <d v="2025-07-31T00:00:00"/>
    <d v="2025-07-30T00:00:00"/>
    <d v="2025-12-01T00:00:00"/>
    <n v="2"/>
    <s v="Interview"/>
    <s v="101 Corporate Development"/>
    <s v="Teresa Kim (13865)"/>
    <s v="101 Corporate Development"/>
    <m/>
    <m/>
    <m/>
    <m/>
    <m/>
    <s v="Hardeep Gulati (14415)"/>
    <m/>
    <m/>
    <s v="Hardeep Gulati (14415)"/>
    <s v="New Position &gt; Budgeted"/>
    <s v="new position"/>
  </r>
  <r>
    <s v="REQID54765"/>
    <s v="Software Configuration Specialist II"/>
    <s v="Open"/>
    <m/>
    <s v="118"/>
    <s v="Remote India"/>
    <x v="0"/>
    <s v="Dushyant Devlekar (11945)"/>
    <s v="Sujit Komal Gupta (10056)"/>
    <x v="12"/>
    <d v="2025-08-12T00:00:00"/>
    <d v="2025-08-12T00:00:00"/>
    <d v="2025-12-19T00:00:00"/>
    <n v="1"/>
    <s v="Ready for Hire"/>
    <s v="400 Professional Services"/>
    <s v="Michael Teixeira (10388)"/>
    <s v="400 Professional Services"/>
    <s v="14411"/>
    <s v="Amarpreet Kaur"/>
    <m/>
    <d v="2025-12-19T00:00:00"/>
    <s v="Career Fairs"/>
    <s v="Hardeep Gulati (14415)"/>
    <s v="Chris McCloskey (13804)"/>
    <s v="David Nuernberg (12843)"/>
    <s v="Aditi Roy (10563)_x000a__x000a_Chris McCloskey (13804)_x000a__x000a_David Nuernberg (12843)_x000a__x000a_Deepak Sivaraman (10538)_x000a__x000a_Hardeep Gulati (14415)_x000a__x000a_Naveen Upadhyay (14329)"/>
    <s v="Existing Position &gt; Backfill"/>
    <s v="Replacement for Shubham Acharya"/>
  </r>
  <r>
    <s v="REQID54806"/>
    <s v="HR Programs and Event Coordinator"/>
    <s v="Open"/>
    <m/>
    <s v="34"/>
    <s v="Remote Poland"/>
    <x v="3"/>
    <s v="Hari Thammineedi (12246)"/>
    <s v="Stephanie Lane (12664)"/>
    <x v="13"/>
    <d v="2025-08-21T00:00:00"/>
    <d v="2025-11-04T00:00:00"/>
    <d v="2026-01-05T00:00:00"/>
    <n v="150"/>
    <s v="Assessment"/>
    <s v="130 Human Resources"/>
    <s v="John Kelly (11112)"/>
    <s v="130 Human Resources"/>
    <m/>
    <m/>
    <m/>
    <m/>
    <m/>
    <s v="Hardeep Gulati (14415)"/>
    <s v="Brittney Price (13617)"/>
    <s v="Darin Bond (12434)"/>
    <s v="Brittney Price (13617)_x000a__x000a_Darin Bond (12434)_x000a__x000a_Hardeep Gulati (14415)"/>
    <s v="New Position &gt; Budgeted"/>
    <s v="Adding headcount in India strengthens Duck Creek’s ability to deliver on global Culture, Inclusion &amp; Engagement priorities by expanding capacity, embedding regional insights, and creating a scalable, future-ready structure. This role enables us to redistribute program ownership across the team, ensuring cultural context is reflected in our initiatives worldwide. It provides flexibility across time zones, aligns with our India Center of Excellence, and supports leadership evolution by allowing Amy to focus on strategic direction and innovation. Establishing this role formalizes our team’s growth and positions Duck Creek to sustain a globally relevant, agile, and employee-centered experience."/>
  </r>
  <r>
    <s v="REQID54809"/>
    <s v="Junior Associate Software Engineer"/>
    <s v="Open"/>
    <m/>
    <s v="102"/>
    <s v="Remote Mumbai"/>
    <x v="0"/>
    <s v="Reenu Sura (12333)"/>
    <s v="Hemant Acharya (14078)"/>
    <x v="14"/>
    <d v="2025-09-02T00:00:00"/>
    <d v="2025-08-28T00:00:00"/>
    <d v="2026-01-05T00:00:00"/>
    <n v="1"/>
    <s v="Ready for Hire"/>
    <s v="551 Engineering Grow"/>
    <s v="Jennifer Armstrong (10414)"/>
    <s v="551 Engineering Grow"/>
    <s v="14429"/>
    <s v="Raj Ghonge"/>
    <m/>
    <d v="2026-01-05T00:00:00"/>
    <s v="College Career Site"/>
    <s v="Hardeep Gulati (14415)"/>
    <s v="Jeff Dutton (13506)"/>
    <s v="Jennifer Armstrong (10414)"/>
    <s v="Hardeep Gulati (14415)_x000a__x000a_Jeff Dutton (13506)_x000a__x000a_Jennifer Armstrong (10414)"/>
    <s v="New Position &gt; Budgeted"/>
    <s v="TAP program for India for FY26. This is being built into the target run rate for FY26 in the AOP template."/>
  </r>
  <r>
    <s v="REQID54805"/>
    <s v="Sr. Business Analyst"/>
    <s v="Open"/>
    <m/>
    <s v="59"/>
    <s v="Sydney Office"/>
    <x v="2"/>
    <s v="Dushyant Devlekar (11945)"/>
    <s v="Kapil Sharma (10439)"/>
    <x v="15"/>
    <d v="2025-09-04T00:00:00"/>
    <d v="2025-10-10T00:00:00"/>
    <d v="2026-01-26T00:00:00"/>
    <n v="4"/>
    <s v="Interview"/>
    <s v="400 Professional Services"/>
    <s v="Michael Teixeira (10388)"/>
    <s v="400 Professional Services"/>
    <m/>
    <m/>
    <m/>
    <m/>
    <m/>
    <s v="Hardeep Gulati (14415)"/>
    <s v="Chris McCloskey (13804)"/>
    <s v="David Nuernberg (12843)"/>
    <s v="Chris McCloskey (13804)_x000a__x000a_David Nuernberg (12843)_x000a__x000a_Hardeep Gulati (14415)_x000a__x000a_Naveen Upadhyay (14329)"/>
    <s v="Existing Position &gt; Backfill"/>
    <s v="Replacement for Guillaume Mouton"/>
  </r>
  <r>
    <s v="REQID54812"/>
    <s v="Senior Director of Sales - SaaS Software Sales and P/C Insurance"/>
    <s v="Open"/>
    <m/>
    <s v="91"/>
    <s v="Remote US"/>
    <x v="1"/>
    <s v="Hari Thammineedi (12246)"/>
    <s v="Gabe Cossio (14208)"/>
    <x v="16"/>
    <d v="2025-09-11T00:00:00"/>
    <d v="2025-09-08T00:00:00"/>
    <d v="2025-09-29T00:00:00"/>
    <n v="19"/>
    <s v="Interview"/>
    <s v="200 Sales"/>
    <s v="William Magowan (10415)"/>
    <s v="200 Sales"/>
    <m/>
    <m/>
    <m/>
    <m/>
    <m/>
    <s v="Hardeep Gulati (14415)"/>
    <s v="William Magowan (10415)"/>
    <m/>
    <s v="Hardeep Gulati (14415)_x000a__x000a_William Magowan (10415)"/>
    <s v="New Position &gt; Budgeted"/>
    <s v="New Position to hire Senior Sales Director"/>
  </r>
  <r>
    <s v="REQID54814"/>
    <s v="Junior Associate Software Engineer"/>
    <s v="Open"/>
    <m/>
    <s v="90"/>
    <s v="Remote Mumbai"/>
    <x v="0"/>
    <s v="Reenu Sura (12333)"/>
    <s v="Hemant Acharya (14078)"/>
    <x v="14"/>
    <d v="2025-09-11T00:00:00"/>
    <d v="2025-09-09T00:00:00"/>
    <d v="2026-01-05T00:00:00"/>
    <n v="1"/>
    <s v="Ready for Hire"/>
    <s v="551 Engineering Grow"/>
    <s v="Jennifer Armstrong (10414)"/>
    <s v="551 Engineering Grow"/>
    <s v="14432"/>
    <s v="Sakshi Shirkande"/>
    <m/>
    <d v="2026-01-05T00:00:00"/>
    <s v="C-DAC"/>
    <s v="Hardeep Gulati (14415)"/>
    <s v="Jeff Dutton (13506)"/>
    <s v="Jennifer Armstrong (10414)"/>
    <s v="Hardeep Gulati (14415)_x000a__x000a_Jeff Dutton (13506)_x000a__x000a_Jennifer Armstrong (10414)"/>
    <s v="New Position &gt; Budgeted"/>
    <s v="TAP program for India for FY26. This is being built into the target run rate for FY26 in the AOP template."/>
  </r>
  <r>
    <s v="REQID54817"/>
    <s v="Junior Associate Software Engineer"/>
    <s v="Open"/>
    <m/>
    <s v="90"/>
    <s v="Remote Mumbai"/>
    <x v="0"/>
    <s v="Reenu Sura (12333)"/>
    <s v="Hemant Acharya (14078)"/>
    <x v="14"/>
    <d v="2025-09-11T00:00:00"/>
    <d v="2025-09-09T00:00:00"/>
    <d v="2026-01-05T00:00:00"/>
    <n v="1"/>
    <s v="Ready for Hire"/>
    <s v="551 Engineering Grow"/>
    <s v="Jennifer Armstrong (10414)"/>
    <s v="551 Engineering Grow"/>
    <s v="14447"/>
    <s v="Rohit Manker"/>
    <m/>
    <d v="2026-01-05T00:00:00"/>
    <s v="C-DAC"/>
    <s v="Hardeep Gulati (14415)"/>
    <s v="Jeff Dutton (13506)"/>
    <s v="Jennifer Armstrong (10414)"/>
    <s v="Hardeep Gulati (14415)_x000a__x000a_Jeff Dutton (13506)_x000a__x000a_Jennifer Armstrong (10414)"/>
    <s v="New Position &gt; Budgeted"/>
    <s v="TAP program for India for FY26. This is being built into the target run rate for FY26 in the AOP template."/>
  </r>
  <r>
    <s v="REQID54813"/>
    <s v="Junior Associate Software Engineer"/>
    <s v="Open"/>
    <m/>
    <s v="90"/>
    <s v="Remote Mumbai"/>
    <x v="0"/>
    <s v="Reenu Sura (12333)"/>
    <s v="Hemant Acharya (14078)"/>
    <x v="14"/>
    <d v="2025-09-11T00:00:00"/>
    <d v="2025-09-09T00:00:00"/>
    <d v="2026-01-05T00:00:00"/>
    <n v="1"/>
    <s v="Ready for Hire"/>
    <s v="551 Engineering Grow"/>
    <s v="Jennifer Armstrong (10414)"/>
    <s v="551 Engineering Grow"/>
    <s v="14428"/>
    <s v="Harshal Barhe"/>
    <m/>
    <d v="2026-01-05T00:00:00"/>
    <s v="C-DAC"/>
    <s v="Hardeep Gulati (14415)"/>
    <s v="Jeff Dutton (13506)"/>
    <s v="Jennifer Armstrong (10414)"/>
    <s v="Hardeep Gulati (14415)_x000a__x000a_Jeff Dutton (13506)_x000a__x000a_Jennifer Armstrong (10414)"/>
    <s v="New Position &gt; Budgeted"/>
    <s v="TAP program for India for FY26. This is being built into the target run rate for FY26 in the AOP template."/>
  </r>
  <r>
    <s v="REQID54815"/>
    <s v="Junior Associate Software Engineer"/>
    <s v="Open"/>
    <m/>
    <s v="90"/>
    <s v="Remote Mumbai"/>
    <x v="0"/>
    <s v="Reenu Sura (12333)"/>
    <s v="Hemant Acharya (14078)"/>
    <x v="14"/>
    <d v="2025-09-11T00:00:00"/>
    <d v="2025-09-09T00:00:00"/>
    <d v="2026-01-05T00:00:00"/>
    <n v="1"/>
    <s v="Ready for Hire"/>
    <s v="551 Engineering Grow"/>
    <s v="Jennifer Armstrong (10414)"/>
    <s v="551 Engineering Grow"/>
    <s v="14430"/>
    <s v="Sarvesh Shyamal Sinha"/>
    <m/>
    <d v="2026-01-05T00:00:00"/>
    <s v="C-DAC"/>
    <s v="Hardeep Gulati (14415)"/>
    <s v="Jeff Dutton (13506)"/>
    <s v="Jennifer Armstrong (10414)"/>
    <s v="Hardeep Gulati (14415)_x000a__x000a_Jeff Dutton (13506)_x000a__x000a_Jennifer Armstrong (10414)"/>
    <s v="New Position &gt; Budgeted"/>
    <s v="TAP program for India for FY26. This is being built into the target run rate for FY26 in the AOP template."/>
  </r>
  <r>
    <s v="REQID54816"/>
    <s v="Junior Associate Software Engineer"/>
    <s v="Open"/>
    <m/>
    <s v="90"/>
    <s v="Remote Mumbai"/>
    <x v="0"/>
    <s v="Reenu Sura (12333)"/>
    <s v="Hemant Acharya (14078)"/>
    <x v="14"/>
    <d v="2025-09-11T00:00:00"/>
    <d v="2025-09-09T00:00:00"/>
    <d v="2026-01-05T00:00:00"/>
    <n v="1"/>
    <s v="Ready for Hire"/>
    <s v="551 Engineering Grow"/>
    <s v="Jennifer Armstrong (10414)"/>
    <s v="551 Engineering Grow"/>
    <s v="14427"/>
    <s v="Shantanu Deshpande"/>
    <m/>
    <d v="2026-01-05T00:00:00"/>
    <s v="Other"/>
    <s v="Hardeep Gulati (14415)"/>
    <s v="Jeff Dutton (13506)"/>
    <s v="Jennifer Armstrong (10414)"/>
    <s v="Hardeep Gulati (14415)_x000a__x000a_Jeff Dutton (13506)_x000a__x000a_Jennifer Armstrong (10414)"/>
    <s v="New Position &gt; Budgeted"/>
    <s v="TAP program for India for FY26. This is being built into the target run rate for FY26 in the AOP template."/>
  </r>
  <r>
    <s v="REQID54821"/>
    <s v="Principal Software Engineer"/>
    <s v="Open"/>
    <m/>
    <s v="55"/>
    <s v="Remote US"/>
    <x v="1"/>
    <s v="Holly Solomon (13236)"/>
    <s v="Paul Robak (10386)"/>
    <x v="17"/>
    <d v="2025-09-15T00:00:00"/>
    <d v="2025-10-14T00:00:00"/>
    <d v="2025-11-10T00:00:00"/>
    <n v="202"/>
    <s v="Interview"/>
    <s v="551 Engineering Grow"/>
    <s v="Jennifer Armstrong (10414)"/>
    <s v="551 Engineering Grow"/>
    <m/>
    <m/>
    <m/>
    <m/>
    <m/>
    <s v="Hardeep Gulati (14415)"/>
    <s v="Jeff Dutton (13506)"/>
    <s v="Jennifer Armstrong (10414)"/>
    <s v="Hardeep Gulati (14415)_x000a__x000a_Jeff Dutton (13506)_x000a__x000a_Jennifer Armstrong (10414)"/>
    <s v="Existing Position &gt; Backfill"/>
    <s v="backfill for Rob Foster who resigned (platform services). Same salary; no financial impact_x000a__x000a_Was originally going to use this to hire RJ referral but they withdrew so starting search again on 10/14/25"/>
  </r>
  <r>
    <s v="REQID54818"/>
    <s v="Software Configuration Associate"/>
    <s v="Open"/>
    <m/>
    <s v="81"/>
    <s v="Mumbai Office"/>
    <x v="0"/>
    <s v="Diksha Pradhan (12759)"/>
    <s v="Pramod Pillai (12276)"/>
    <x v="18"/>
    <d v="2025-09-18T00:00:00"/>
    <d v="2025-09-18T00:00:00"/>
    <d v="2026-01-05T00:00:00"/>
    <n v="1"/>
    <s v="Ready for Hire"/>
    <s v="481 CS Engineering"/>
    <s v="Stephanie White (10435)"/>
    <s v="481 CS Engineering"/>
    <s v="14424"/>
    <s v="Bhagyesh Katkar"/>
    <m/>
    <d v="2026-01-05T00:00:00"/>
    <s v="Other"/>
    <s v="Hardeep Gulati (14415)"/>
    <s v="Chris McCloskey (13804)"/>
    <s v="Stephanie White (10435)"/>
    <s v="Chris McCloskey (13804)_x000a__x000a_Hardeep Gulati (14415)_x000a__x000a_Preston McCamy (10390)_x000a__x000a_Stephanie White (10435)"/>
    <s v="New Position &gt; Budgeted"/>
    <s v="Participated in the Talent Accelerator Program in India, to build strong candidates for future roles at Duck Creek"/>
  </r>
  <r>
    <s v="REQID54819"/>
    <s v="Software Configuration Associate"/>
    <s v="Open"/>
    <m/>
    <s v="81"/>
    <s v="Mumbai Office"/>
    <x v="0"/>
    <s v="Diksha Pradhan (12759)"/>
    <s v="Pallavi Vivek Waman (10428)"/>
    <x v="18"/>
    <d v="2025-09-18T00:00:00"/>
    <d v="2025-09-18T00:00:00"/>
    <d v="2026-01-05T00:00:00"/>
    <n v="1"/>
    <s v="Ready for Hire"/>
    <s v="481 CS Engineering"/>
    <s v="Stephanie White (10435)"/>
    <s v="481 CS Engineering"/>
    <s v="14443"/>
    <s v="Lavina Parulekar"/>
    <m/>
    <d v="2026-01-05T00:00:00"/>
    <s v="Other"/>
    <s v="Hardeep Gulati (14415)"/>
    <s v="Chris McCloskey (13804)"/>
    <s v="Stephanie White (10435)"/>
    <s v="Chris McCloskey (13804)_x000a__x000a_Hardeep Gulati (14415)_x000a__x000a_Preston McCamy (10390)_x000a__x000a_Stephanie White (10435)"/>
    <s v="New Position &gt; Budgeted"/>
    <s v="Participated in the Talent Accelerator Program in India, to build strong candidates for future roles at Duck Creek"/>
  </r>
  <r>
    <s v="REQID54825"/>
    <s v="Customer Success Test Engineer Analyst II"/>
    <s v="Open"/>
    <m/>
    <s v="81"/>
    <s v="Remote India"/>
    <x v="0"/>
    <s v="Dushyant Devlekar (11945)"/>
    <s v="Amy Toler (10923)"/>
    <x v="19"/>
    <d v="2025-09-18T00:00:00"/>
    <d v="2025-09-18T00:00:00"/>
    <d v="2026-02-05T00:00:00"/>
    <n v="1"/>
    <s v="Ready for Hire"/>
    <s v="481 CS Engineering"/>
    <s v="Stephanie White (10435)"/>
    <s v="481 CS Engineering"/>
    <s v="14440"/>
    <s v="Soundarya Sasala"/>
    <m/>
    <d v="2026-02-05T00:00:00"/>
    <s v="Employee Referral"/>
    <s v="Hardeep Gulati (14415)"/>
    <s v="Chris McCloskey (13804)"/>
    <s v="Stephanie White (10435)"/>
    <s v="Chris McCloskey (13804)_x000a__x000a_Hardeep Gulati (14415)_x000a__x000a_Preston McCamy (10390)_x000a__x000a_Stephanie White (10435)"/>
    <s v="Existing Position &gt; Backfill"/>
    <s v="Backfill Anushka Mhaskar"/>
  </r>
  <r>
    <s v="REQID54822"/>
    <s v="Director, Global Fusion Center"/>
    <s v="Open"/>
    <m/>
    <s v="77"/>
    <s v="Mumbai Office"/>
    <x v="0"/>
    <s v="Yogeshwari Rangaraj (14271)"/>
    <s v="Mohan Gajula (13541)"/>
    <x v="20"/>
    <d v="2025-09-22T00:00:00"/>
    <d v="2025-09-22T00:00:00"/>
    <d v="2026-01-22T00:00:00"/>
    <n v="522"/>
    <s v="Interview"/>
    <s v="150 Information Technology"/>
    <s v="Mohan Gajula (13541)"/>
    <s v="150 Information Technology"/>
    <m/>
    <m/>
    <m/>
    <m/>
    <m/>
    <s v="Hardeep Gulati (14415)"/>
    <s v="Benjamin Dulieu (13088)"/>
    <m/>
    <s v="Benjamin Dulieu (13088)_x000a__x000a_Hardeep Gulati (14415)"/>
    <s v="New Position &gt; Budgeted"/>
    <s v="As part of CIO/CISO Organization strategic vision and roadmap, new Global Fusion Center is being stood up in India COE and Poland COEs for our user support across IT, Cybersecurity and Enterprise Applications. The Director of Global Fusion Center will lead this function and based in India."/>
  </r>
  <r>
    <s v="REQID54828"/>
    <s v="Application Incident Manager"/>
    <s v="Open"/>
    <m/>
    <s v="56"/>
    <s v="Remote India"/>
    <x v="0"/>
    <s v="Diksha Pradhan (12759)"/>
    <s v="Tiaa Allen (13895)"/>
    <x v="21"/>
    <d v="2025-09-22T00:00:00"/>
    <d v="2025-10-13T00:00:00"/>
    <d v="2026-01-19T00:00:00"/>
    <n v="1"/>
    <s v="Ready for Hire"/>
    <s v="482 Application Support"/>
    <s v="Jeff Dutton (13506)"/>
    <s v="482 Application Support"/>
    <m/>
    <m/>
    <m/>
    <m/>
    <m/>
    <s v="Hardeep Gulati (14415)"/>
    <s v="Jeff Dutton (13506)"/>
    <s v="Will Milewski (14407)"/>
    <s v="Hardeep Gulati (14415)_x000a__x000a_Jeff Dutton (13506)_x000a__x000a_Will Milewski (14407)"/>
    <s v="Existing Position &gt; Backfill"/>
    <s v="backfill for Shailesh who resigned effective 12/1. Salary needs to be increasd due to market rate adjustments - pull remainder out of ensell budget"/>
  </r>
  <r>
    <s v="REQID54829"/>
    <s v="Senior Manager, GTM Sales Operations"/>
    <s v="Open"/>
    <m/>
    <s v="83"/>
    <s v="Remote NJ"/>
    <x v="1"/>
    <s v="Hari Thammineedi (12246)"/>
    <s v="Samuel Warnken-Brill (14260)"/>
    <x v="22"/>
    <d v="2025-09-23T00:00:00"/>
    <d v="2025-09-16T00:00:00"/>
    <d v="2025-11-10T00:00:00"/>
    <n v="6"/>
    <s v="Ready for Hire"/>
    <s v="240 Sales Operations"/>
    <s v="Chris McCloskey (13804)"/>
    <s v="240 Sales Operations"/>
    <m/>
    <m/>
    <m/>
    <m/>
    <m/>
    <s v="Hardeep Gulati (14415)"/>
    <s v="Chris McCloskey (13804)"/>
    <m/>
    <s v="Chris McCloskey (13804)_x000a__x000a_Hardeep Gulati (14415)"/>
    <s v="Existing Position &gt; Backfill"/>
    <s v="Position is backfill for Henry Mark Nippert and will be funded by his headcount"/>
  </r>
  <r>
    <s v="REQID54833"/>
    <s v="Vice President, Professional Services - P/C Insurance"/>
    <s v="Open"/>
    <m/>
    <s v="81"/>
    <s v="Columbia Office"/>
    <x v="1"/>
    <s v="Hari Thammineedi (12246)"/>
    <s v="David Nuernberg (12843)"/>
    <x v="23"/>
    <d v="2025-09-24T00:00:00"/>
    <d v="2025-09-18T00:00:00"/>
    <d v="2026-01-26T00:00:00"/>
    <n v="0"/>
    <s v="Pending HM Details"/>
    <s v="400 Professional Services"/>
    <s v="Michael Teixeira (10388)"/>
    <s v="400 Professional Services"/>
    <m/>
    <m/>
    <m/>
    <m/>
    <m/>
    <s v="Hardeep Gulati (14415)"/>
    <s v="Chris McCloskey (13804)"/>
    <m/>
    <s v="Chris McCloskey (13804)_x000a__x000a_Hardeep Gulati (14415)"/>
    <s v="New Position &gt; Budgeted"/>
    <s v="Part of FY26 Budget, replacement for Dave Nuremberg's Old Role"/>
  </r>
  <r>
    <s v="REQID54834"/>
    <s v="Software Configuration Specialist III"/>
    <s v="Open"/>
    <m/>
    <s v="75"/>
    <s v="Remote India"/>
    <x v="0"/>
    <s v="Dushyant Devlekar (11945)"/>
    <s v="Santosh Garje (11784)"/>
    <x v="24"/>
    <d v="2025-09-25T00:00:00"/>
    <d v="2025-09-24T00:00:00"/>
    <d v="2025-12-19T00:00:00"/>
    <n v="2"/>
    <s v="Ready for Hire"/>
    <s v="400 Professional Services"/>
    <s v="Michael Teixeira (10388)"/>
    <s v="400 Professional Services"/>
    <m/>
    <m/>
    <m/>
    <m/>
    <m/>
    <s v="Hardeep Gulati (14415)"/>
    <s v="Chris McCloskey (13804)"/>
    <s v="David Nuernberg (12843)"/>
    <s v="Chris McCloskey (13804)_x000a__x000a_David Nuernberg (12843)_x000a__x000a_Deepak Sivaraman (10538)_x000a__x000a_Hardeep Gulati (14415)_x000a__x000a_Naveen Upadhyay (14329)"/>
    <s v="Existing Position &gt; Backfill"/>
    <s v="Replacement for Sarthak Gupta"/>
  </r>
  <r>
    <s v="REQID54832"/>
    <s v="Accountant"/>
    <s v="Open"/>
    <m/>
    <s v="73"/>
    <s v="Remote Poland"/>
    <x v="3"/>
    <s v="Holly Solomon (13236)"/>
    <s v="Joanna Stryczewska (14326)"/>
    <x v="25"/>
    <d v="2025-09-26T00:00:00"/>
    <d v="2025-09-26T00:00:00"/>
    <d v="2025-12-01T00:00:00"/>
    <n v="1"/>
    <s v="Ready for Hire"/>
    <s v="110 Finance"/>
    <s v="Kim Estes (14025)"/>
    <s v="110 Finance"/>
    <s v="14438"/>
    <s v="Monika Buniowska"/>
    <m/>
    <d v="2026-01-01T00:00:00"/>
    <s v="LinkedIn"/>
    <s v="Hardeep Gulati (14415)"/>
    <s v="Teresa Kim (13865)"/>
    <s v="Kim Estes (14025)"/>
    <s v="Brent Pearson (14093)_x000a__x000a_Hardeep Gulati (14415)_x000a__x000a_Kim Estes (14025)_x000a__x000a_Teresa Kim (13865)"/>
    <s v="New Position &gt; Budgeted"/>
    <s v="Transfer of the role to Poland"/>
  </r>
  <r>
    <s v="REQID54842"/>
    <s v="Data Engineer II"/>
    <s v="Open"/>
    <m/>
    <s v="33"/>
    <s v="Remote India"/>
    <x v="0"/>
    <s v="Reenu Sura (12333)"/>
    <s v="Charles Martin (11057)"/>
    <x v="4"/>
    <d v="2025-10-01T00:00:00"/>
    <d v="2025-11-05T00:00:00"/>
    <d v="2026-03-05T00:00:00"/>
    <n v="96"/>
    <s v="Assessment"/>
    <s v="551 Engineering Grow"/>
    <s v="Jennifer Armstrong (10414)"/>
    <s v="551 Engineering Grow"/>
    <m/>
    <m/>
    <m/>
    <m/>
    <m/>
    <s v="Hardeep Gulati (14415)"/>
    <s v="Jeff Dutton (13506)"/>
    <s v="Jennifer Armstrong (10414)"/>
    <s v="Hardeep Gulati (14415)_x000a__x000a_Jeff Dutton (13506)_x000a__x000a_Jennifer Armstrong (10414)_x000a__x000a_Paul Robak (10386)"/>
    <s v="New Position &gt; Budgeted"/>
    <s v="Data Eng, Clarity - Manager (In AOP as REQID_India_01)"/>
  </r>
  <r>
    <s v="REQID54850"/>
    <s v="Principal Software Engineer- GenAI"/>
    <s v="Open"/>
    <m/>
    <s v="68"/>
    <s v="Remote US"/>
    <x v="1"/>
    <s v="Holly Solomon (13236)"/>
    <s v="Paul Robak (10386)"/>
    <x v="17"/>
    <d v="2025-10-01T00:00:00"/>
    <d v="2025-10-01T00:00:00"/>
    <d v="2025-12-01T00:00:00"/>
    <n v="154"/>
    <s v="Review"/>
    <s v="551 Engineering Grow"/>
    <s v="Jennifer Armstrong (10414)"/>
    <s v="551 Engineering Grow"/>
    <m/>
    <m/>
    <m/>
    <m/>
    <m/>
    <s v="Hardeep Gulati (14415)"/>
    <s v="Jeff Dutton (13506)"/>
    <s v="Jennifer Armstrong (10414)"/>
    <s v="Hardeep Gulati (14415)_x000a__x000a_Jeff Dutton (13506)_x000a__x000a_Jennifer Armstrong (10414)"/>
    <s v="Existing Position &gt; Backfill"/>
    <s v="Backfill for Yassel Piloto (Intellingence GenAI)"/>
  </r>
  <r>
    <s v="REQID54843"/>
    <s v="Senior Data Engineer"/>
    <s v="Open"/>
    <m/>
    <s v="33"/>
    <s v="Remote India"/>
    <x v="0"/>
    <s v="Reenu Sura (12333)"/>
    <s v="Charles Martin (11057)"/>
    <x v="0"/>
    <d v="2025-10-01T00:00:00"/>
    <d v="2025-11-05T00:00:00"/>
    <d v="2026-03-05T00:00:00"/>
    <n v="194"/>
    <s v="Assessment"/>
    <s v="551 Engineering Grow"/>
    <s v="Jennifer Armstrong (10414)"/>
    <s v="551 Engineering Grow"/>
    <m/>
    <m/>
    <m/>
    <m/>
    <m/>
    <s v="Hardeep Gulati (14415)"/>
    <s v="Jeff Dutton (13506)"/>
    <s v="Jennifer Armstrong (10414)"/>
    <s v="Hardeep Gulati (14415)_x000a__x000a_Jeff Dutton (13506)_x000a__x000a_Jennifer Armstrong (10414)_x000a__x000a_Paul Robak (10386)"/>
    <s v="New Position &gt; Budgeted"/>
    <s v="Data Eng, Clarity - Senior Manager_x000a_REQID_INDIA_03 in AOP"/>
  </r>
  <r>
    <s v="REQID54844"/>
    <s v="Principal Software Architect"/>
    <s v="Open"/>
    <m/>
    <s v="45"/>
    <s v="Remote India"/>
    <x v="0"/>
    <s v="Diksha Pradhan (12759)"/>
    <s v="Saurabh Singh Shaktawat (10919)"/>
    <x v="1"/>
    <d v="2025-10-01T00:00:00"/>
    <d v="2025-10-24T00:00:00"/>
    <d v="2026-02-21T00:00:00"/>
    <n v="60"/>
    <s v="Interview"/>
    <s v="551 Engineering Grow"/>
    <s v="Jennifer Armstrong (10414)"/>
    <s v="551 Engineering Grow"/>
    <m/>
    <m/>
    <m/>
    <m/>
    <m/>
    <s v="Hardeep Gulati (14415)"/>
    <s v="Jeff Dutton (13506)"/>
    <s v="Jennifer Armstrong (10414)"/>
    <s v="Greg James (13741)_x000a__x000a_Hardeep Gulati (14415)_x000a__x000a_Jeff Dutton (13506)_x000a__x000a_Jennifer Armstrong (10414)"/>
    <s v="New Position &gt; Budgeted"/>
    <s v="Principal Arch, Policy, REQID_India_04 in AOP"/>
  </r>
  <r>
    <s v="REQID54845"/>
    <s v="Senior Software Architect"/>
    <s v="Open"/>
    <m/>
    <s v="28"/>
    <s v="Remote India"/>
    <x v="0"/>
    <s v="Dushyant Devlekar (11945)"/>
    <s v="Hemant Acharya (14078)"/>
    <x v="26"/>
    <d v="2025-10-01T00:00:00"/>
    <d v="2025-11-10T00:00:00"/>
    <d v="2026-03-10T00:00:00"/>
    <n v="47"/>
    <s v="Assessment"/>
    <s v="551 Engineering Grow"/>
    <s v="Jennifer Armstrong (10414)"/>
    <s v="551 Engineering Grow"/>
    <m/>
    <m/>
    <m/>
    <m/>
    <m/>
    <s v="Hardeep Gulati (14415)"/>
    <s v="Jeff Dutton (13506)"/>
    <s v="Jennifer Armstrong (10414)"/>
    <s v="Hardeep Gulati (14415)_x000a__x000a_Jeff Dutton (13506)_x000a__x000a_Jennifer Armstrong (10414)"/>
    <s v="New Position &gt; Budgeted"/>
    <s v="Field Arch, In AOP as REQID_India_05"/>
  </r>
  <r>
    <s v="REQID54835"/>
    <s v="Senior Manager, Solution Consulting - Reinsurance"/>
    <s v="Open"/>
    <m/>
    <s v="75"/>
    <s v="Remote UK"/>
    <x v="4"/>
    <s v="Hari Thammineedi (12246)"/>
    <s v="Abby M. Anderegg (10423)"/>
    <x v="27"/>
    <d v="2025-10-06T00:00:00"/>
    <d v="2025-09-24T00:00:00"/>
    <d v="2025-11-03T00:00:00"/>
    <n v="30"/>
    <s v="Interview"/>
    <s v="250 Pre Sales"/>
    <s v="Alicia Kern (11307)"/>
    <s v="250 Pre Sales"/>
    <m/>
    <m/>
    <m/>
    <m/>
    <m/>
    <s v="Hardeep Gulati (14415)"/>
    <s v="William Magowan (10415)"/>
    <s v="Alicia Kern (11307)"/>
    <s v="Alicia Kern (11307)_x000a__x000a_Hardeep Gulati (14415)_x000a__x000a_William Magowan (10415)"/>
    <s v="Existing Position &gt; Backfill"/>
    <s v="Backfill for Vandana Sharma. Please note that Vandana's exit salary was $198k but for this role we are budgeting $160k for now. If needed, we will use the full budget."/>
  </r>
  <r>
    <s v="REQID54851"/>
    <s v="Data Engineer II"/>
    <s v="Open"/>
    <m/>
    <s v="33"/>
    <s v="Remote India"/>
    <x v="0"/>
    <s v="Reenu Sura (12333)"/>
    <s v="Charles Martin (11057)"/>
    <x v="4"/>
    <d v="2025-10-06T00:00:00"/>
    <d v="2025-11-05T00:00:00"/>
    <d v="2026-03-05T00:00:00"/>
    <n v="100"/>
    <s v="Screen"/>
    <s v="551 Engineering Grow"/>
    <s v="Jennifer Armstrong (10414)"/>
    <s v="551 Engineering Grow"/>
    <m/>
    <m/>
    <m/>
    <m/>
    <m/>
    <s v="Hardeep Gulati (14415)"/>
    <s v="Jeff Dutton (13506)"/>
    <s v="Jennifer Armstrong (10414)"/>
    <s v="Hardeep Gulati (14415)_x000a__x000a_Jeff Dutton (13506)_x000a__x000a_Jennifer Armstrong (10414)_x000a__x000a_Paul Robak (10386)"/>
    <s v="New Position &gt; Budgeted"/>
    <s v="Data Eng, Clarity in AOP:_x0009_REQID_India_02"/>
  </r>
  <r>
    <s v="REQID54852"/>
    <s v="Principal Software Architect- GenAI"/>
    <s v="Open"/>
    <m/>
    <s v="54"/>
    <s v="Remote US"/>
    <x v="1"/>
    <s v="Holly Solomon (13236)"/>
    <s v="Paul Robak (10386)"/>
    <x v="1"/>
    <d v="2025-10-06T00:00:00"/>
    <d v="2025-10-15T00:00:00"/>
    <d v="2025-12-01T00:00:00"/>
    <n v="82"/>
    <s v="Assessment"/>
    <s v="551 Engineering Grow"/>
    <s v="Jennifer Armstrong (10414)"/>
    <s v="551 Engineering Grow"/>
    <m/>
    <m/>
    <m/>
    <m/>
    <m/>
    <s v="Hardeep Gulati (14415)"/>
    <s v="Jeff Dutton (13506)"/>
    <s v="Jennifer Armstrong (10414)"/>
    <s v="Hardeep Gulati (14415)_x000a__x000a_Jeff Dutton (13506)_x000a__x000a_Jennifer Armstrong (10414)"/>
    <s v="New Position &gt; Budgeted"/>
    <s v="Software Engineer Principal in AOP: REQID_US_03"/>
  </r>
  <r>
    <s v="REQID54853"/>
    <s v="IT Infrastructure Services - Network Analyst"/>
    <s v="Open"/>
    <m/>
    <s v="62"/>
    <s v="Remote India"/>
    <x v="0"/>
    <s v="Jaya Joshi (13426)"/>
    <s v="Habtamu Yohannes (11050)"/>
    <x v="28"/>
    <d v="2025-10-07T00:00:00"/>
    <d v="2025-10-07T00:00:00"/>
    <d v="2025-11-24T00:00:00"/>
    <n v="152"/>
    <s v="Interview"/>
    <s v="150 Information Technology"/>
    <s v="Mohan Gajula (13541)"/>
    <s v="150 Information Technology"/>
    <m/>
    <m/>
    <m/>
    <m/>
    <m/>
    <s v="Hardeep Gulati (14415)"/>
    <s v="Benjamin Dulieu (13088)"/>
    <s v="Mohan Gajula (13541)"/>
    <s v="Benjamin Dulieu (13088)_x000a__x000a_Hardeep Gulati (14415)_x000a__x000a_Mohan Gajula (13541)"/>
    <s v="Existing Position &gt; Backfill"/>
    <s v="Backfill for Ameya Acharya"/>
  </r>
  <r>
    <s v="REQID54862"/>
    <s v="Data Engineer I"/>
    <s v="Open"/>
    <m/>
    <s v="33"/>
    <s v="Remote India"/>
    <x v="0"/>
    <s v="Reenu Sura (12333)"/>
    <s v="Charles Martin (11057)"/>
    <x v="7"/>
    <d v="2025-10-08T00:00:00"/>
    <d v="2025-11-05T00:00:00"/>
    <d v="2026-03-05T00:00:00"/>
    <n v="311"/>
    <s v="Interview"/>
    <s v="551 Engineering Grow"/>
    <s v="Jennifer Armstrong (10414)"/>
    <s v="551 Engineering Grow"/>
    <m/>
    <m/>
    <m/>
    <m/>
    <m/>
    <s v="Hardeep Gulati (14415)"/>
    <s v="Jeff Dutton (13506)"/>
    <s v="Jennifer Armstrong (10414)"/>
    <s v="Hardeep Gulati (14415)_x000a__x000a_Jeff Dutton (13506)_x000a__x000a_Jennifer Armstrong (10414)_x000a__x000a_Paul Robak (10386)"/>
    <s v="Existing Position &gt; Backfill"/>
    <s v="backfilling Dhairya with Assoc Mgr level. No financial impact. Clarity resource"/>
  </r>
  <r>
    <s v="REQID54840"/>
    <s v="Senior Director, Professional Services"/>
    <s v="Open"/>
    <m/>
    <s v="41"/>
    <s v="Paris Office"/>
    <x v="5"/>
    <s v="Hari Thammineedi (12246)"/>
    <s v="David Nuernberg (12843)"/>
    <x v="29"/>
    <d v="2025-10-08T00:00:00"/>
    <d v="2025-10-28T00:00:00"/>
    <d v="2026-01-26T00:00:00"/>
    <n v="68"/>
    <s v="Assessment"/>
    <s v="400 Professional Services"/>
    <s v="Michael Teixeira (10388)"/>
    <s v="400 Professional Services"/>
    <m/>
    <m/>
    <m/>
    <m/>
    <m/>
    <s v="Hardeep Gulati (14415)"/>
    <s v="Chris McCloskey (13804)"/>
    <m/>
    <s v="Chris McCloskey (13804)_x000a__x000a_Hardeep Gulati (14415)"/>
    <s v="Existing Position &gt; Backfill"/>
    <s v="Replacement for Guillaume Garnier"/>
  </r>
  <r>
    <s v="REQID54861"/>
    <s v="Application Support Senior Business Analyst"/>
    <s v="Open"/>
    <m/>
    <s v="0"/>
    <s v="Remote India"/>
    <x v="0"/>
    <s v="Jaya Joshi (13426)"/>
    <s v="Tiaa Allen (13895)"/>
    <x v="30"/>
    <d v="2025-10-13T00:00:00"/>
    <d v="2026-01-21T00:00:00"/>
    <d v="2026-01-21T00:00:00"/>
    <n v="1"/>
    <s v="Background Check"/>
    <s v="482 Application Support"/>
    <s v="Jeff Dutton (13506)"/>
    <s v="482 Application Support"/>
    <m/>
    <m/>
    <m/>
    <m/>
    <m/>
    <s v="Hardeep Gulati (14415)"/>
    <s v="Jeff Dutton (13506)"/>
    <s v="Will Milewski (14407)"/>
    <s v="Hardeep Gulati (14415)_x000a__x000a_Jeff Dutton (13506)_x000a__x000a_Will Milewski (14407)"/>
    <s v="New Position &gt; Budgeted"/>
    <s v="use the rest of the money from Chris Sauer's backfill to fund"/>
  </r>
  <r>
    <s v="REQID54864"/>
    <s v="Lead Technical Architect"/>
    <s v="Open"/>
    <m/>
    <s v="59"/>
    <s v="Remote Mumbai"/>
    <x v="0"/>
    <s v="Reenu Sura (12333)"/>
    <s v="Mukesh Bhaskar (10005)"/>
    <x v="31"/>
    <d v="2025-10-17T00:00:00"/>
    <d v="2025-10-10T00:00:00"/>
    <d v="2026-03-02T00:00:00"/>
    <n v="1"/>
    <s v="Ready for Hire"/>
    <s v="400 Professional Services"/>
    <s v="Michael Teixeira (10388)"/>
    <s v="400 Professional Services"/>
    <m/>
    <m/>
    <m/>
    <m/>
    <m/>
    <s v="Hardeep Gulati (14415)"/>
    <s v="Chris McCloskey (13804)"/>
    <s v="David Nuernberg (12843)"/>
    <s v="Chris McCloskey (13804)_x000a__x000a_David Nuernberg (12843)_x000a__x000a_Hardeep Gulati (14415)_x000a__x000a_Manas Mishra (12849)_x000a__x000a_Rohit Mohan Wani (11252)"/>
    <s v="New Position &gt; Budgeted"/>
    <s v="Created for Saket Gupta to transfer from Australia to India"/>
  </r>
  <r>
    <s v="REQID54874"/>
    <s v="Manager, Enterprise Applications"/>
    <s v="Open"/>
    <m/>
    <s v="41"/>
    <s v="Remote Poland"/>
    <x v="3"/>
    <s v="Holly Solomon (13236)"/>
    <s v="Kevin Bernard (14357)"/>
    <x v="32"/>
    <d v="2025-10-17T00:00:00"/>
    <d v="2025-10-28T00:00:00"/>
    <d v="2026-01-05T00:00:00"/>
    <n v="29"/>
    <s v="Interview"/>
    <s v="152 Data Enterprise Analytics"/>
    <s v="Benjamin Dulieu (13088)"/>
    <s v="152 Data Enterprise Analytics"/>
    <m/>
    <m/>
    <m/>
    <m/>
    <m/>
    <s v="Hardeep Gulati (14415)"/>
    <s v="Benjamin Dulieu (13088)"/>
    <m/>
    <s v="Benjamin Dulieu (13088)_x000a__x000a_Hardeep Gulati (14415)"/>
    <s v="New Position &gt; Budgeted"/>
    <s v="Updating from Francois:_x000a_Connected with Kevin directly: _x000a_1) We will move forward with the Workday role at $300k PLN  _x000a_2) Kevin will firm up how he wants to backfill Cheryl's Salesforce role (India or Poland). This will be partially funded by the replacement of Kyle Gliwa (currently a contractor) by a cheaper resource in India"/>
  </r>
  <r>
    <s v="REQID54875"/>
    <s v="Security Testing Analyst II"/>
    <s v="Open"/>
    <m/>
    <s v="49"/>
    <s v="Remote Poland"/>
    <x v="3"/>
    <s v="Holly Solomon (13236)_x000a__x000a_Reenu Sura (12333)"/>
    <s v="Fazleabbas Khanbahadur (12733)"/>
    <x v="33"/>
    <d v="2025-10-17T00:00:00"/>
    <d v="2025-10-20T00:00:00"/>
    <d v="2026-01-19T00:00:00"/>
    <n v="135"/>
    <s v="Assessment"/>
    <s v="151 Security Team"/>
    <s v="Mohan Gajula (13541)"/>
    <s v="151 Security Team"/>
    <m/>
    <m/>
    <m/>
    <m/>
    <m/>
    <s v="Hardeep Gulati (14415)"/>
    <s v="Benjamin Dulieu (13088)"/>
    <s v="Samuel Warren (10658)"/>
    <s v="Benjamin Dulieu (13088)_x000a__x000a_Hardeep Gulati (14415)_x000a__x000a_Samuel Warren (10658)"/>
    <s v="New Position &gt; Budgeted"/>
    <s v="This position is budgeted as part of Project Nova"/>
  </r>
  <r>
    <s v="REQID54876"/>
    <s v="Security Engineer I"/>
    <s v="Open"/>
    <m/>
    <s v="42"/>
    <s v="Remote India"/>
    <x v="0"/>
    <s v="Reenu Sura (12333)"/>
    <s v="Fazleabbas Khanbahadur (12733)"/>
    <x v="34"/>
    <d v="2025-10-17T00:00:00"/>
    <d v="2025-10-27T00:00:00"/>
    <d v="2026-02-27T00:00:00"/>
    <n v="44"/>
    <s v="Interview"/>
    <s v="151 Security Team"/>
    <s v="Mohan Gajula (13541)"/>
    <s v="151 Security Team"/>
    <m/>
    <m/>
    <m/>
    <m/>
    <m/>
    <s v="Hardeep Gulati (14415)"/>
    <s v="Benjamin Dulieu (13088)"/>
    <s v="Samuel Warren (10658)"/>
    <s v="Benjamin Dulieu (13088)_x000a__x000a_Hardeep Gulati (14415)_x000a__x000a_Samuel Warren (10658)"/>
    <s v="New Position &gt; Budgeted"/>
    <s v="This position is budgeted as part of Project Nova"/>
  </r>
  <r>
    <s v="REQID54871"/>
    <s v="Senior Revenue Accountant"/>
    <s v="Open"/>
    <m/>
    <s v="47"/>
    <s v="Remote Poland"/>
    <x v="3"/>
    <s v="Holly Solomon (13236)"/>
    <s v="Brent Pearson (14093)"/>
    <x v="35"/>
    <d v="2025-10-21T00:00:00"/>
    <d v="2025-10-22T00:00:00"/>
    <d v="2025-12-01T00:00:00"/>
    <n v="32"/>
    <s v="Assessment"/>
    <s v="110 Finance"/>
    <s v="Kim Estes (14025)"/>
    <s v="110 Finance"/>
    <m/>
    <m/>
    <m/>
    <m/>
    <m/>
    <s v="Hardeep Gulati (14415)"/>
    <s v="Teresa Kim (13865)"/>
    <s v="Kim Estes (14025)"/>
    <s v="Hardeep Gulati (14415)_x000a__x000a_Kim Estes (14025)_x000a__x000a_Teresa Kim (13865)"/>
    <s v="New Position &gt; Budgeted"/>
    <s v="To accelerate move of position to CoE in Poland. Recruiting now to provide overlap with existing US resource and provide additional bandwidth to team during critical initiatives and transition."/>
  </r>
  <r>
    <s v="REQID54877"/>
    <s v="Sr. Analyst Prompt Engineer"/>
    <s v="Open"/>
    <m/>
    <s v="53"/>
    <s v="Remote India"/>
    <x v="0"/>
    <s v="Jaya Joshi (13426)"/>
    <s v="Brooklyn Kimble (13727)"/>
    <x v="36"/>
    <d v="2025-10-27T00:00:00"/>
    <d v="2025-10-16T00:00:00"/>
    <d v="2025-12-01T00:00:00"/>
    <n v="0"/>
    <s v="Pending HM Details"/>
    <s v="152 Data Enterprise Analytics"/>
    <s v="Benjamin Dulieu (13088)"/>
    <s v="152 Data Enterprise Analytics"/>
    <m/>
    <m/>
    <m/>
    <m/>
    <m/>
    <s v="Hardeep Gulati (14415)"/>
    <s v="Benjamin Dulieu (13088)"/>
    <s v="Samuel Warren (10658)"/>
    <s v="Benjamin Dulieu (13088)_x000a__x000a_Hardeep Gulati (14415)_x000a__x000a_Samuel Warren (10658)"/>
    <s v="New Position &gt; Budgeted"/>
    <s v="This role is a netnew role under the new AI COE transformation project"/>
  </r>
  <r>
    <s v="REQID54882"/>
    <s v="AI Platform Developer"/>
    <s v="Open"/>
    <m/>
    <s v="41"/>
    <s v="Remote US"/>
    <x v="1"/>
    <s v="Holly Solomon (13236)"/>
    <s v="Brooklyn Kimble (13727)"/>
    <x v="37"/>
    <d v="2025-10-27T00:00:00"/>
    <d v="2025-10-28T00:00:00"/>
    <d v="2025-12-01T00:00:00"/>
    <n v="420"/>
    <s v="Interview"/>
    <s v="152 Data Enterprise Analytics"/>
    <s v="Benjamin Dulieu (13088)"/>
    <s v="152 Data Enterprise Analytics"/>
    <m/>
    <m/>
    <m/>
    <m/>
    <m/>
    <s v="Hardeep Gulati (14415)"/>
    <s v="Benjamin Dulieu (13088)"/>
    <s v="Samuel Warren (10658)"/>
    <s v="Benjamin Dulieu (13088)_x000a__x000a_Hardeep Gulati (14415)_x000a__x000a_Samuel Warren (10658)"/>
    <s v="New Position &gt; Budgeted"/>
    <m/>
  </r>
  <r>
    <s v="REQID54866"/>
    <s v="Quality Assurance Engineer-Policy"/>
    <s v="Open"/>
    <m/>
    <s v="33"/>
    <s v="Remote India"/>
    <x v="0"/>
    <s v="Dushyant Devlekar (11945)"/>
    <s v="Pooja Arora (10683)"/>
    <x v="38"/>
    <d v="2025-11-04T00:00:00"/>
    <d v="2025-11-05T00:00:00"/>
    <d v="2026-03-04T00:00:00"/>
    <n v="8"/>
    <s v="Interview"/>
    <s v="400 Professional Services"/>
    <s v="Michael Teixeira (10388)"/>
    <s v="400 Professional Services"/>
    <m/>
    <m/>
    <m/>
    <m/>
    <m/>
    <s v="Hardeep Gulati (14415)"/>
    <s v="Chris McCloskey (13804)"/>
    <s v="David Nuernberg (12843)"/>
    <s v="Chris McCloskey (13804)_x000a__x000a_David Nuernberg (12843)_x000a__x000a_Hardeep Gulati (14415)_x000a__x000a_Naveen Upadhyay (14329)"/>
    <s v="Existing Position &gt; Backfill"/>
    <s v="Replacement for Monty Hitchner, repurposing to offshore"/>
  </r>
  <r>
    <s v="REQID54869"/>
    <s v="Software Configuration Specialist III-Policy"/>
    <s v="Open"/>
    <m/>
    <s v="33"/>
    <s v="Remote India"/>
    <x v="0"/>
    <s v="Diksha Pradhan (12759)"/>
    <s v="Raghuraj Singh (11614)"/>
    <x v="24"/>
    <d v="2025-11-04T00:00:00"/>
    <d v="2025-11-05T00:00:00"/>
    <d v="2026-03-04T00:00:00"/>
    <n v="2"/>
    <s v="Interview"/>
    <s v="400 Professional Services"/>
    <s v="Michael Teixeira (10388)"/>
    <s v="400 Professional Services"/>
    <m/>
    <m/>
    <m/>
    <m/>
    <m/>
    <s v="Hardeep Gulati (14415)"/>
    <s v="Chris McCloskey (13804)"/>
    <s v="David Nuernberg (12843)"/>
    <s v="Chris McCloskey (13804)_x000a__x000a_David Nuernberg (12843)_x000a__x000a_Deepak Sivaraman (10538)_x000a__x000a_Hardeep Gulati (14415)_x000a__x000a_Naveen Upadhyay (14329)"/>
    <s v="Existing Position &gt; Backfill"/>
    <s v="Replacement for Monty Hitchner, repurposing to offshore"/>
  </r>
  <r>
    <s v="REQID54868"/>
    <s v="QA Tester III"/>
    <s v="Open"/>
    <m/>
    <s v="33"/>
    <s v="Remote India"/>
    <x v="0"/>
    <s v="Reenu Sura (12333)"/>
    <s v="Amita Kashyap (12440)"/>
    <x v="39"/>
    <d v="2025-11-04T00:00:00"/>
    <d v="2025-11-05T00:00:00"/>
    <d v="2026-03-04T00:00:00"/>
    <n v="18"/>
    <s v="Interview"/>
    <s v="400 Professional Services"/>
    <s v="Michael Teixeira (10388)"/>
    <s v="400 Professional Services"/>
    <m/>
    <m/>
    <m/>
    <m/>
    <m/>
    <s v="Hardeep Gulati (14415)"/>
    <s v="Chris McCloskey (13804)"/>
    <s v="David Nuernberg (12843)"/>
    <s v="Chris McCloskey (13804)_x000a__x000a_David Nuernberg (12843)_x000a__x000a_Hardeep Gulati (14415)_x000a__x000a_Naveen Upadhyay (14329)_x000a__x000a_Pooja Arora (10683)"/>
    <s v="Existing Position &gt; Backfill"/>
    <s v="Replacement for Monty Hitchner, repurposing to offshore"/>
  </r>
  <r>
    <s v="REQID54867"/>
    <s v="Software Configuration Specialist III-Policy"/>
    <s v="Open"/>
    <m/>
    <s v="33"/>
    <s v="Remote India"/>
    <x v="0"/>
    <s v="Dushyant Devlekar (11945)"/>
    <s v="Santosh Garje (11784)"/>
    <x v="24"/>
    <d v="2025-11-04T00:00:00"/>
    <d v="2025-11-05T00:00:00"/>
    <d v="2026-03-04T00:00:00"/>
    <n v="7"/>
    <s v="Interview"/>
    <s v="400 Professional Services"/>
    <s v="Michael Teixeira (10388)"/>
    <s v="400 Professional Services"/>
    <m/>
    <m/>
    <m/>
    <m/>
    <m/>
    <s v="Hardeep Gulati (14415)"/>
    <s v="Chris McCloskey (13804)"/>
    <s v="David Nuernberg (12843)"/>
    <s v="Chris McCloskey (13804)_x000a__x000a_David Nuernberg (12843)_x000a__x000a_Deepak Sivaraman (10538)_x000a__x000a_Hardeep Gulati (14415)_x000a__x000a_Naveen Upadhyay (14329)"/>
    <s v="Existing Position &gt; Backfill"/>
    <s v="Replacement for Monty Hitchner, repurposing to offshore"/>
  </r>
  <r>
    <s v="REQID54880"/>
    <s v="Quality Assurance Engineer-Claims"/>
    <s v="Open"/>
    <m/>
    <s v="33"/>
    <s v="Mumbai Office"/>
    <x v="0"/>
    <s v="Jaya Joshi (13426)"/>
    <s v="Subhasis Mukhopadhyay (10656)"/>
    <x v="38"/>
    <d v="2025-11-04T00:00:00"/>
    <d v="2025-11-05T00:00:00"/>
    <d v="2026-03-04T00:00:00"/>
    <n v="134"/>
    <s v="Interview"/>
    <s v="400 Professional Services"/>
    <s v="Michael Teixeira (10388)"/>
    <s v="400 Professional Services"/>
    <m/>
    <m/>
    <m/>
    <m/>
    <m/>
    <s v="Hardeep Gulati (14415)"/>
    <s v="Chris McCloskey (13804)"/>
    <s v="David Nuernberg (12843)"/>
    <s v="Chris McCloskey (13804)_x000a__x000a_David Nuernberg (12843)_x000a__x000a_Hardeep Gulati (14415)_x000a__x000a_Naveen Upadhyay (14329)_x000a__x000a_Pooja Arora (10683)"/>
    <s v="Existing Position &gt; Backfill"/>
    <s v="Replacement for Jacob Pereira, who is filling REQID54836"/>
  </r>
  <r>
    <s v="REQID54881"/>
    <s v="Software Configuration Specialist II-Policy"/>
    <s v="Open"/>
    <m/>
    <s v="33"/>
    <s v="Remote Mumbai"/>
    <x v="0"/>
    <s v="Jaya Joshi (13426)"/>
    <s v="Ankit Singhal (11953)"/>
    <x v="12"/>
    <d v="2025-11-04T00:00:00"/>
    <d v="2025-11-05T00:00:00"/>
    <d v="2026-03-04T00:00:00"/>
    <n v="86"/>
    <s v="Interview"/>
    <s v="400 Professional Services"/>
    <s v="Michael Teixeira (10388)"/>
    <s v="400 Professional Services"/>
    <m/>
    <m/>
    <m/>
    <m/>
    <m/>
    <s v="Hardeep Gulati (14415)"/>
    <s v="Chris McCloskey (13804)"/>
    <s v="David Nuernberg (12843)"/>
    <s v="Chris McCloskey (13804)_x000a__x000a_David Nuernberg (12843)_x000a__x000a_Deepak Sivaraman (10538)_x000a__x000a_Hardeep Gulati (14415)_x000a__x000a_Naveen Upadhyay (14329)"/>
    <s v="Existing Position &gt; Backfill"/>
    <s v="Replacement for Jacob Pereira, who is filling REQID54836"/>
  </r>
  <r>
    <s v="REQID54887"/>
    <s v="Senior Reinsurance Business Analyst - Application Support"/>
    <s v="Open"/>
    <m/>
    <s v="27"/>
    <s v="Remote US"/>
    <x v="1"/>
    <s v="Hari Thammineedi (12246)"/>
    <s v="Tiaa Allen (13895)"/>
    <x v="40"/>
    <d v="2025-11-10T00:00:00"/>
    <d v="2025-11-11T00:00:00"/>
    <d v="2026-01-05T00:00:00"/>
    <n v="22"/>
    <s v="Interview"/>
    <s v="482 Application Support"/>
    <s v="Jeff Dutton (13506)"/>
    <s v="482 Application Support"/>
    <m/>
    <m/>
    <m/>
    <m/>
    <m/>
    <s v="Hardeep Gulati (14415)"/>
    <s v="Jeff Dutton (13506)"/>
    <s v="Will Milewski (14407)"/>
    <s v="Hardeep Gulati (14415)_x000a__x000a_Jeff Dutton (13506)_x000a__x000a_Will Milewski (14407)"/>
    <s v="Existing Position &gt; Backfill"/>
    <s v="backfilling Janet with manager level. No financial impact - inc salary but bonus is lower due to lower level. Recruiter/HM: Check on job profile as should be IC not Mgmt but was not available in the lookup tool."/>
  </r>
  <r>
    <s v="REQID54858"/>
    <s v="Senior Associate Test Engineer"/>
    <s v="Open"/>
    <m/>
    <s v="27"/>
    <s v="Remote - Mumbai CHN"/>
    <x v="0"/>
    <s v="Jaya Joshi (13426)"/>
    <s v="Pramod Pillai (12276)"/>
    <x v="41"/>
    <d v="2025-11-10T00:00:00"/>
    <d v="2025-11-11T00:00:00"/>
    <d v="2026-03-11T00:00:00"/>
    <n v="157"/>
    <s v="Interview"/>
    <s v="481 CS Engineering"/>
    <s v="Stephanie White (10435)"/>
    <s v="481 CS Engineering"/>
    <m/>
    <m/>
    <m/>
    <m/>
    <m/>
    <s v="Hardeep Gulati (14415)"/>
    <s v="Chris McCloskey (13804)"/>
    <s v="Stephanie White (10435)"/>
    <s v="Chris McCloskey (13804)_x000a__x000a_Hardeep Gulati (14415)_x000a__x000a_Preston McCamy (10390)_x000a__x000a_Stephanie White (10435)"/>
    <s v="New Position &gt; Budgeted"/>
    <s v="converting position from CodeUP Contingent worker to FTE position in India"/>
  </r>
  <r>
    <s v="REQID54859"/>
    <s v="Associate Test Engineer"/>
    <s v="Open"/>
    <m/>
    <s v="27"/>
    <s v="Remote - Mumbai CHN"/>
    <x v="0"/>
    <s v="Jaya Joshi (13426)"/>
    <s v="Pramod Pillai (12276)"/>
    <x v="19"/>
    <d v="2025-11-10T00:00:00"/>
    <d v="2025-11-11T00:00:00"/>
    <d v="2026-03-11T00:00:00"/>
    <n v="9"/>
    <s v="Interview"/>
    <s v="481 CS Engineering"/>
    <s v="Stephanie White (10435)"/>
    <s v="481 CS Engineering"/>
    <m/>
    <m/>
    <m/>
    <m/>
    <m/>
    <s v="Hardeep Gulati (14415)"/>
    <s v="Chris McCloskey (13804)"/>
    <s v="Stephanie White (10435)"/>
    <s v="Chris McCloskey (13804)_x000a__x000a_Hardeep Gulati (14415)_x000a__x000a_Preston McCamy (10390)_x000a__x000a_Stephanie White (10435)"/>
    <s v="New Position &gt; Budgeted"/>
    <s v="converting position from CodeUP Contingent worker to FTE position in India"/>
  </r>
  <r>
    <s v="REQID54895"/>
    <s v="Chief of Staff"/>
    <s v="Open"/>
    <m/>
    <s v="33"/>
    <s v="Remote CA"/>
    <x v="1"/>
    <s v="Hari Thammineedi (12246)"/>
    <s v="Hardeep Gulati (14415)"/>
    <x v="42"/>
    <d v="2025-11-11T00:00:00"/>
    <d v="2025-11-05T00:00:00"/>
    <d v="2026-01-05T00:00:00"/>
    <n v="213"/>
    <s v="Assessment"/>
    <s v="100 Executive"/>
    <s v="Teresa Kim (13865)"/>
    <s v="100 Executive"/>
    <m/>
    <m/>
    <m/>
    <m/>
    <m/>
    <s v="Hardeep Gulati (14415)"/>
    <m/>
    <m/>
    <s v="Hardeep Gulati (14415)"/>
    <s v="New Position &gt; Budgeted"/>
    <s v="New Position"/>
  </r>
  <r>
    <s v="REQID54891"/>
    <s v="Senior Associate IAM Engineer"/>
    <s v="Open"/>
    <m/>
    <s v="26"/>
    <s v="Remote Poland"/>
    <x v="3"/>
    <s v="Holly Solomon (13236)"/>
    <s v="Jason Naylor (10376)"/>
    <x v="43"/>
    <d v="2025-11-11T00:00:00"/>
    <d v="2025-11-12T00:00:00"/>
    <d v="2026-01-15T00:00:00"/>
    <n v="11"/>
    <s v="Interview"/>
    <s v="151 Security Team"/>
    <s v="Mohan Gajula (13541)"/>
    <s v="151 Security Team"/>
    <m/>
    <m/>
    <m/>
    <m/>
    <m/>
    <s v="Hardeep Gulati (14415)"/>
    <s v="Benjamin Dulieu (13088)"/>
    <s v="Mohan Gajula (13541)"/>
    <s v="Benjamin Dulieu (13088)_x000a__x000a_Hardeep Gulati (14415)_x000a__x000a_Mohan Gajula (13541)"/>
    <s v="New Position &gt; Budgeted"/>
    <s v="Expanding IAM Engineering team to account for business needs of the organization."/>
  </r>
  <r>
    <s v="REQID54893"/>
    <s v="End User Experience &amp; Engineering Analyst II"/>
    <s v="Open"/>
    <m/>
    <s v="26"/>
    <s v="Remote India"/>
    <x v="0"/>
    <s v="Diksha Pradhan (12759)"/>
    <s v="Jason Naylor (10376)"/>
    <x v="44"/>
    <d v="2025-11-11T00:00:00"/>
    <d v="2025-11-12T00:00:00"/>
    <d v="2026-03-15T00:00:00"/>
    <n v="30"/>
    <s v="Interview"/>
    <s v="151 Security Team"/>
    <s v="Mohan Gajula (13541)"/>
    <s v="151 Security Team"/>
    <m/>
    <m/>
    <m/>
    <m/>
    <m/>
    <s v="Hardeep Gulati (14415)"/>
    <s v="Benjamin Dulieu (13088)"/>
    <s v="Mohan Gajula (13541)"/>
    <s v="Benjamin Dulieu (13088)_x000a__x000a_Hardeep Gulati (14415)_x000a__x000a_Mohan Gajula (13541)"/>
    <s v="New Position &gt; Budgeted"/>
    <s v="Expansion of the End User Experience &amp; Engineering team to align with the business needs of the organization."/>
  </r>
  <r>
    <s v="REQID54894"/>
    <s v="IAM Operations Analyst II"/>
    <s v="Open"/>
    <m/>
    <s v="27"/>
    <s v="Remote India"/>
    <x v="0"/>
    <s v="Dushyant Devlekar (11945)"/>
    <s v="Jason Naylor (10376)"/>
    <x v="45"/>
    <d v="2025-11-11T00:00:00"/>
    <d v="2025-11-11T00:00:00"/>
    <d v="2026-01-05T00:00:00"/>
    <n v="11"/>
    <s v="Offer"/>
    <s v="151 Security Team"/>
    <s v="Mohan Gajula (13541)"/>
    <s v="151 Security Team"/>
    <m/>
    <m/>
    <m/>
    <m/>
    <m/>
    <s v="Hardeep Gulati (14415)"/>
    <s v="Benjamin Dulieu (13088)"/>
    <s v="Mohan Gajula (13541)"/>
    <s v="Benjamin Dulieu (13088)_x000a__x000a_Hardeep Gulati (14415)_x000a__x000a_Mohan Gajula (13541)"/>
    <s v="New Position &gt; Budgeted"/>
    <s v="Expanding the IAM Operations team to align with the business needs of the organization."/>
  </r>
  <r>
    <s v="REQID54857"/>
    <s v="Software Solutions Engineer II"/>
    <s v="Open"/>
    <m/>
    <s v="17"/>
    <s v="Remote India"/>
    <x v="0"/>
    <s v="Diksha Pradhan (12759)"/>
    <s v="Pramod Pillai (12276)"/>
    <x v="46"/>
    <d v="2025-11-14T00:00:00"/>
    <d v="2025-11-21T00:00:00"/>
    <d v="2026-03-21T00:00:00"/>
    <n v="22"/>
    <s v="Interview"/>
    <s v="481 CS Engineering"/>
    <s v="Stephanie White (10435)"/>
    <s v="481 CS Engineering"/>
    <m/>
    <m/>
    <m/>
    <m/>
    <m/>
    <s v="Hardeep Gulati (14415)"/>
    <s v="Chris McCloskey (13804)"/>
    <s v="Stephanie White (10435)"/>
    <s v="Chris McCloskey (13804)_x000a__x000a_Hardeep Gulati (14415)_x000a__x000a_Preston McCamy (10390)_x000a__x000a_Stephanie White (10435)"/>
    <s v="New Position &gt; Budgeted"/>
    <s v="converting position from CodeUP Contingent worker to FTE position in India"/>
  </r>
  <r>
    <s v="REQID54897"/>
    <s v="Application Support Manager"/>
    <s v="Open"/>
    <m/>
    <s v="27"/>
    <s v="Remote Australia"/>
    <x v="2"/>
    <s v="Yogeshwari Rangaraj (14271)"/>
    <s v="Jason Rader (10758)"/>
    <x v="47"/>
    <d v="2025-11-14T00:00:00"/>
    <d v="2025-11-11T00:00:00"/>
    <d v="2026-03-09T00:00:00"/>
    <n v="0"/>
    <s v="Pending HM Details"/>
    <s v="482 Application Support"/>
    <s v="Jeff Dutton (13506)"/>
    <s v="482 Application Support"/>
    <m/>
    <m/>
    <m/>
    <m/>
    <m/>
    <s v="Hardeep Gulati (14415)"/>
    <s v="Jeff Dutton (13506)"/>
    <s v="Will Milewski (14407)"/>
    <s v="Hardeep Gulati (14415)_x000a__x000a_Jeff Dutton (13506)_x000a__x000a_Ken Potvin (14070)_x000a__x000a_Tiaa Allen (13895)_x000a__x000a_Will Milewski (14407)"/>
    <s v="New Position &gt; Budgeted"/>
    <s v="Suncorp"/>
  </r>
  <r>
    <s v="REQID54856"/>
    <s v="Associate Manager , Project Manager"/>
    <s v="Open"/>
    <m/>
    <s v="7"/>
    <s v="Remote India"/>
    <x v="0"/>
    <s v="Diksha Pradhan (12759)"/>
    <s v="Pramod Pillai (12276)"/>
    <x v="48"/>
    <d v="2025-11-14T00:00:00"/>
    <d v="2025-12-01T00:00:00"/>
    <d v="2026-03-31T00:00:00"/>
    <n v="227"/>
    <s v="Review"/>
    <s v="481 CS Engineering"/>
    <s v="Stephanie White (10435)"/>
    <s v="481 CS Engineering"/>
    <m/>
    <m/>
    <m/>
    <m/>
    <m/>
    <s v="Hardeep Gulati (14415)"/>
    <s v="Chris McCloskey (13804)"/>
    <s v="Stephanie White (10435)"/>
    <s v="Chris McCloskey (13804)_x000a__x000a_Hardeep Gulati (14415)_x000a__x000a_Preston McCamy (10390)_x000a__x000a_Stephanie White (10435)"/>
    <s v="New Position &gt; Budgeted"/>
    <s v="converting position from CodeUP Contingent worker to FTE position in India"/>
  </r>
  <r>
    <s v="REQID54888"/>
    <s v="Senior Business Intelligence Analyst - Power BI Developer"/>
    <s v="Open"/>
    <m/>
    <s v="18"/>
    <s v="Remote India"/>
    <x v="0"/>
    <s v="Reenu Sura (12333)"/>
    <s v="Timothy Chewning (10466)"/>
    <x v="49"/>
    <d v="2025-11-14T00:00:00"/>
    <d v="2025-11-20T00:00:00"/>
    <d v="2026-03-20T00:00:00"/>
    <n v="324"/>
    <s v="Assessment"/>
    <s v="152 Data Enterprise Analytics"/>
    <s v="Benjamin Dulieu (13088)"/>
    <s v="152 Data Enterprise Analytics"/>
    <m/>
    <m/>
    <m/>
    <m/>
    <m/>
    <s v="Hardeep Gulati (14415)"/>
    <s v="Benjamin Dulieu (13088)"/>
    <m/>
    <s v="Benjamin Dulieu (13088)_x000a__x000a_Hardeep Gulati (14415)"/>
    <s v="New Position &gt; Budgeted"/>
    <s v="This position is budgeted to support reporting needs for the Enterprise Data and Analytics team in FY26."/>
  </r>
  <r>
    <s v="REQID54889"/>
    <s v="Software Configuration Specialist III-Policy"/>
    <s v="Open"/>
    <m/>
    <s v="23"/>
    <s v="Remote India"/>
    <x v="0"/>
    <s v="Dushyant Devlekar (11945)"/>
    <s v="Raghuraj Singh (11614)"/>
    <x v="24"/>
    <d v="2025-11-14T00:00:00"/>
    <d v="2025-11-15T00:00:00"/>
    <d v="2026-03-30T00:00:00"/>
    <n v="4"/>
    <s v="Interview"/>
    <s v="400 Professional Services"/>
    <s v="Michael Teixeira (10388)"/>
    <s v="400 Professional Services"/>
    <m/>
    <m/>
    <m/>
    <m/>
    <m/>
    <s v="Hardeep Gulati (14415)"/>
    <s v="Chris McCloskey (13804)"/>
    <s v="David Nuernberg (12843)"/>
    <s v="Chris McCloskey (13804)_x000a__x000a_David Nuernberg (12843)_x000a__x000a_Deepak Sivaraman (10538)_x000a__x000a_Hardeep Gulati (14415)_x000a__x000a_Naveen Upadhyay (14329)"/>
    <s v="Existing Position &gt; Backfill"/>
    <s v="Replacement for Santosh Garje"/>
  </r>
  <r>
    <s v="REQID54902"/>
    <s v="Sr. Site Reliability Engineer"/>
    <s v="Open"/>
    <m/>
    <s v="25"/>
    <s v="Remote Australia"/>
    <x v="2"/>
    <s v="Dushyant Devlekar (11945)"/>
    <s v="Enrique Romero Jr. (13958)"/>
    <x v="50"/>
    <d v="2025-11-17T00:00:00"/>
    <d v="2025-11-13T00:00:00"/>
    <d v="2026-03-16T00:00:00"/>
    <n v="0"/>
    <s v="Pending HM Details"/>
    <s v="480 OnDemand SaaS Operations"/>
    <s v="Jeff Dutton (13506)"/>
    <s v="480 OnDemand SaaS Operations"/>
    <m/>
    <m/>
    <m/>
    <m/>
    <m/>
    <s v="Hardeep Gulati (14415)"/>
    <s v="Jeff Dutton (13506)"/>
    <s v="Will Milewski (14407)"/>
    <s v="Aiden Janssen (13857)_x000a__x000a_Hardeep Gulati (14415)_x000a__x000a_Jeff Dutton (13506)_x000a__x000a_Will Milewski (14407)"/>
    <s v="New Position &gt; Budgeted"/>
    <s v="Suncorp"/>
  </r>
  <r>
    <s v="REQID54898"/>
    <s v="Application Support Manager"/>
    <s v="Open"/>
    <m/>
    <s v="19"/>
    <s v="Remote India"/>
    <x v="0"/>
    <s v="Diksha Pradhan (12759)"/>
    <s v="Trupti Totade (11703)"/>
    <x v="47"/>
    <d v="2025-11-17T00:00:00"/>
    <d v="2025-11-19T00:00:00"/>
    <d v="2026-03-19T00:00:00"/>
    <n v="101"/>
    <s v="Assessment"/>
    <s v="482 Application Support"/>
    <s v="Jeff Dutton (13506)"/>
    <s v="482 Application Support"/>
    <m/>
    <m/>
    <m/>
    <m/>
    <m/>
    <s v="Hardeep Gulati (14415)"/>
    <s v="Jeff Dutton (13506)"/>
    <s v="Will Milewski (14407)"/>
    <s v="Hardeep Gulati (14415)_x000a__x000a_Jeff Dutton (13506)_x000a__x000a_Ken Potvin (14070)_x000a__x000a_Tiaa Allen (13895)_x000a__x000a_Will Milewski (14407)"/>
    <s v="New Position &gt; Budgeted"/>
    <s v="Suncorp"/>
  </r>
  <r>
    <s v="REQID54901"/>
    <s v="Cloud Database Engineer II"/>
    <s v="Open"/>
    <m/>
    <s v="25"/>
    <s v="Remote Australia"/>
    <x v="2"/>
    <s v="Reenu Sura (12333)"/>
    <s v="Renu Bhasin (14360)"/>
    <x v="51"/>
    <d v="2025-11-17T00:00:00"/>
    <d v="2025-11-13T00:00:00"/>
    <d v="2026-03-16T00:00:00"/>
    <n v="1"/>
    <s v="Review"/>
    <s v="480 OnDemand SaaS Operations"/>
    <s v="Jeff Dutton (13506)"/>
    <s v="480 OnDemand SaaS Operations"/>
    <m/>
    <m/>
    <m/>
    <m/>
    <m/>
    <s v="Hardeep Gulati (14415)"/>
    <s v="Jeff Dutton (13506)"/>
    <s v="Will Milewski (14407)"/>
    <s v="Aiden Janssen (13857)_x000a__x000a_Hardeep Gulati (14415)_x000a__x000a_Jeff Dutton (13506)_x000a__x000a_Will Milewski (14407)"/>
    <s v="New Position &gt; Budgeted"/>
    <s v="Suncorp"/>
  </r>
  <r>
    <s v="REQID54900"/>
    <s v="Infrastructure Operations Engineer II"/>
    <s v="Open"/>
    <m/>
    <s v="25"/>
    <s v="Remote Australia"/>
    <x v="2"/>
    <s v="Jaya Joshi (13426)"/>
    <s v="Lionel Martinez (14046)"/>
    <x v="52"/>
    <d v="2025-11-17T00:00:00"/>
    <d v="2025-11-13T00:00:00"/>
    <d v="2026-03-16T00:00:00"/>
    <n v="0"/>
    <s v="Pending HM Details"/>
    <s v="480 OnDemand SaaS Operations"/>
    <s v="Jeff Dutton (13506)"/>
    <s v="480 OnDemand SaaS Operations"/>
    <m/>
    <m/>
    <m/>
    <m/>
    <m/>
    <s v="Hardeep Gulati (14415)"/>
    <s v="Jeff Dutton (13506)"/>
    <s v="Will Milewski (14407)"/>
    <s v="Aiden Janssen (13857)_x000a__x000a_Enrique Romero Jr. (13958)_x000a__x000a_Hardeep Gulati (14415)_x000a__x000a_Jeff Dutton (13506)_x000a__x000a_Will Milewski (14407)"/>
    <s v="New Position &gt; Budgeted"/>
    <s v="suncorp"/>
  </r>
  <r>
    <s v="REQID54899"/>
    <s v="Incident Manager"/>
    <s v="Open"/>
    <m/>
    <s v="7"/>
    <s v="Remote Australia"/>
    <x v="2"/>
    <s v="Dushyant Devlekar (11945)"/>
    <s v="Tiaa Allen (13895)"/>
    <x v="21"/>
    <d v="2025-11-19T00:00:00"/>
    <d v="2025-12-01T00:00:00"/>
    <d v="2026-03-30T00:00:00"/>
    <n v="41"/>
    <s v="Review"/>
    <s v="482 Application Support"/>
    <s v="Jeff Dutton (13506)"/>
    <s v="482 Application Support"/>
    <m/>
    <m/>
    <m/>
    <m/>
    <m/>
    <s v="Hardeep Gulati (14415)"/>
    <s v="Jeff Dutton (13506)"/>
    <s v="Will Milewski (14407)"/>
    <s v="Hardeep Gulati (14415)_x000a__x000a_Jeff Dutton (13506)_x000a__x000a_Will Milewski (14407)"/>
    <s v="New Position &gt; Budgeted"/>
    <s v="Suncorp ESO"/>
  </r>
  <r>
    <s v="REQID54906"/>
    <s v="Financial Planning &amp; Analysis Co-Op"/>
    <s v="Open"/>
    <m/>
    <s v="21"/>
    <s v="100 Summer Street, Boston office"/>
    <x v="1"/>
    <s v="Holly Solomon (13236)"/>
    <s v="Francois Acerra (14094)"/>
    <x v="53"/>
    <d v="2025-11-19T00:00:00"/>
    <d v="2025-11-17T00:00:00"/>
    <d v="2026-01-05T00:00:00"/>
    <n v="2"/>
    <s v="Offer"/>
    <s v="115 Finance - FP&amp;A"/>
    <s v="Joe Walker (14051)"/>
    <s v="115 Finance - FP&amp;A"/>
    <m/>
    <m/>
    <m/>
    <m/>
    <m/>
    <s v="Hardeep Gulati (14415)"/>
    <s v="Teresa Kim (13865)"/>
    <s v="Joe Walker (14051)"/>
    <s v="Hardeep Gulati (14415)_x000a__x000a_Joe Walker (14051)_x000a__x000a_Teresa Kim (13865)"/>
    <s v="New Position &gt; Budgeted"/>
    <s v="Northeastern Co-op student to support FP&amp;A team in day-to-day activities as well as special projects"/>
  </r>
  <r>
    <s v="REQID54911"/>
    <s v="Chief Product Officer"/>
    <s v="Open"/>
    <m/>
    <s v="18"/>
    <s v="Remote US"/>
    <x v="1"/>
    <s v="Holly Solomon (13236)"/>
    <s v="Hardeep Gulati (14415)"/>
    <x v="54"/>
    <d v="2025-11-20T00:00:00"/>
    <d v="2025-11-20T00:00:00"/>
    <d v="2026-02-02T00:00:00"/>
    <n v="0"/>
    <s v="Pending HM Details"/>
    <s v="500 Product Management"/>
    <s v="Nick Lien (13160)"/>
    <s v="500 Product Management"/>
    <m/>
    <m/>
    <m/>
    <m/>
    <m/>
    <s v="Hardeep Gulati (14415)"/>
    <m/>
    <m/>
    <s v="Hardeep Gulati (14415)"/>
    <s v="Existing Position &gt; Backfill"/>
    <s v="Jess backfill"/>
  </r>
  <r>
    <s v="REQID54903"/>
    <s v="Senior Manager, Solution Consulting"/>
    <s v="Open"/>
    <m/>
    <s v="25"/>
    <s v="Remote UK"/>
    <x v="4"/>
    <s v="Hari Thammineedi (12246)"/>
    <s v="Madhur Virmani (13105)"/>
    <x v="27"/>
    <d v="2025-11-20T00:00:00"/>
    <d v="2025-11-13T00:00:00"/>
    <d v="2025-12-29T00:00:00"/>
    <n v="13"/>
    <s v="Interview"/>
    <s v="250 Pre Sales"/>
    <s v="Alicia Kern (11307)"/>
    <s v="250 Pre Sales"/>
    <m/>
    <m/>
    <m/>
    <m/>
    <m/>
    <s v="Hardeep Gulati (14415)"/>
    <s v="Christian Erickson (14035)"/>
    <s v="Johan Nelis (10416)"/>
    <s v="Christian Erickson (14035)_x000a__x000a_Hardeep Gulati (14415)_x000a__x000a_Johan Nelis (10416)"/>
    <s v="New Position &gt; Budgeted"/>
    <s v="New position - approved by Teresa for UK region. _x000a__x000a_Johan,_x000a_ _x000a_I have approved +1 FTE Solution Consultant - feet on the ground - in the UK for EMEA GTM sales activity._x000a_I discussed this with Hardeep and we asked William to fund this._x000a_ _x000a_Right now I have budgeted $150K USD + Fringe.  _x000a_Please write up a Job Description and let us know if there is more needed._x000a_ _x000a_We expect bookings to come in and show return.  I am here to support the UK/EMEA sales._x000a_ _x000a_Let's go do this!_x000a_Teresa_x000a__x000a_Francois - please see email sent to WM on this matter on how to handle; please follow up with him."/>
  </r>
  <r>
    <s v="REQID54907"/>
    <s v="Senior Manager, Risk Management &amp; Controls Assurance"/>
    <s v="Open"/>
    <m/>
    <s v="12"/>
    <s v="Remote US"/>
    <x v="1"/>
    <s v="Holly Solomon (13236)"/>
    <s v="Ben Frost (13151)"/>
    <x v="55"/>
    <d v="2025-11-25T00:00:00"/>
    <d v="2025-11-26T00:00:00"/>
    <d v="2026-01-05T00:00:00"/>
    <n v="292"/>
    <s v="Review"/>
    <s v="151 Security Team"/>
    <s v="Mohan Gajula (13541)"/>
    <s v="151 Security Team"/>
    <m/>
    <m/>
    <m/>
    <m/>
    <m/>
    <s v="Hardeep Gulati (14415)"/>
    <s v="Benjamin Dulieu (13088)"/>
    <m/>
    <s v="Benjamin Dulieu (13088)_x000a__x000a_Hardeep Gulati (14415)"/>
    <s v="Existing Position &gt; Backfill"/>
    <s v="Brooklyn Kimble is changing positions and moving to a different team as part of the establishment of the AI CoE under Sam Warren."/>
  </r>
  <r>
    <s v="REQID54913"/>
    <s v="GRC &amp; Business Resilience Associate Manager"/>
    <s v="Open"/>
    <m/>
    <s v="6"/>
    <s v="Remote Poland"/>
    <x v="3"/>
    <s v="Holly Solomon (13236)"/>
    <s v="Marissa Truskot (13938)"/>
    <x v="56"/>
    <d v="2025-11-25T00:00:00"/>
    <d v="2025-12-02T00:00:00"/>
    <d v="2026-02-02T00:00:00"/>
    <n v="14"/>
    <s v="Review"/>
    <s v="151 Security Team"/>
    <s v="Mohan Gajula (13541)"/>
    <s v="151 Security Team"/>
    <m/>
    <m/>
    <m/>
    <m/>
    <m/>
    <s v="Hardeep Gulati (14415)"/>
    <s v="Benjamin Dulieu (13088)"/>
    <s v="Ben Frost (13151)"/>
    <s v="Ben Frost (13151)_x000a__x000a_Benjamin Dulieu (13088)_x000a__x000a_Hardeep Gulati (14415)"/>
    <s v="New Position &gt; Budgeted"/>
    <s v="New position to help lead and manage our GRC, business continuity and business resilience efforts."/>
  </r>
  <r>
    <s v="REQID54916"/>
    <s v="Business Analyst II"/>
    <s v="Open"/>
    <m/>
    <s v="17"/>
    <s v="Remote Canada"/>
    <x v="6"/>
    <s v="Hari Thammineedi (12246)"/>
    <s v="Jacob Pereira (14160)"/>
    <x v="57"/>
    <d v="2025-11-25T00:00:00"/>
    <d v="2025-11-21T00:00:00"/>
    <d v="2026-03-30T00:00:00"/>
    <n v="257"/>
    <s v="Review"/>
    <s v="400 Professional Services"/>
    <s v="Michael Teixeira (10388)"/>
    <s v="400 Professional Services"/>
    <m/>
    <m/>
    <m/>
    <m/>
    <m/>
    <s v="Hardeep Gulati (14415)"/>
    <s v="Chris McCloskey (13804)"/>
    <s v="David Nuernberg (12843)"/>
    <s v="Chris McCloskey (13804)_x000a__x000a_David Nuernberg (12843)_x000a__x000a_Hardeep Gulati (14415)_x000a__x000a_Rajesh Kumar Agrawal (11646)"/>
    <s v="Existing Position &gt; Backfill"/>
    <s v="New Business Analyst for Loss Control in Canada, using Andrew MacNeil and Ankit Goyal salary"/>
  </r>
  <r>
    <s v="REQID54914"/>
    <s v="Governance, Risk &amp; Compliance &amp; Privacy Senior Analyst"/>
    <s v="Open"/>
    <m/>
    <s v="12"/>
    <s v="Remote Poland"/>
    <x v="3"/>
    <s v="Holly Solomon (13236)"/>
    <s v="Marissa Truskot (13938)"/>
    <x v="58"/>
    <d v="2025-11-25T00:00:00"/>
    <d v="2025-11-26T00:00:00"/>
    <d v="2026-02-02T00:00:00"/>
    <n v="35"/>
    <s v="Review"/>
    <s v="151 Security Team"/>
    <s v="Mohan Gajula (13541)"/>
    <s v="151 Security Team"/>
    <m/>
    <m/>
    <m/>
    <m/>
    <m/>
    <s v="Hardeep Gulati (14415)"/>
    <s v="Benjamin Dulieu (13088)"/>
    <s v="Ben Frost (13151)"/>
    <s v="Ben Frost (13151)_x000a__x000a_Benjamin Dulieu (13088)_x000a__x000a_Hardeep Gulati (14415)"/>
    <s v="New Position &gt; Budgeted"/>
    <s v="New position to support compliance, governance, and privacy functions."/>
  </r>
  <r>
    <s v="REQID54918"/>
    <s v="Software Solutions Engineer II"/>
    <s v="Open"/>
    <m/>
    <s v="13"/>
    <s v="Remote Mumbai"/>
    <x v="0"/>
    <s v="Dushyant Devlekar (11945)"/>
    <s v="Piyush Kumar Srivastava (11599)"/>
    <x v="59"/>
    <d v="2025-12-03T00:00:00"/>
    <d v="2025-11-25T00:00:00"/>
    <d v="2026-04-27T00:00:00"/>
    <n v="0"/>
    <s v="Pending HM Details"/>
    <s v="400 Professional Services"/>
    <s v="Michael Teixeira (10388)"/>
    <s v="400 Professional Services"/>
    <m/>
    <m/>
    <m/>
    <m/>
    <m/>
    <s v="Hardeep Gulati (14415)"/>
    <s v="Chris McCloskey (13804)"/>
    <s v="David Nuernberg (12843)"/>
    <s v="Chris McCloskey (13804)_x000a__x000a_David Nuernberg (12843)_x000a__x000a_Hardeep Gulati (14415)_x000a__x000a_Jignesh Sanghani (10468)_x000a__x000a_Naveen Upadhyay (14329)"/>
    <s v="Existing Position &gt; Backfill"/>
    <s v="Replacement for Vandana Bhatia who is filling REQID54777"/>
  </r>
  <r>
    <s v="REQID54917"/>
    <s v="QA Tester II"/>
    <s v="Open"/>
    <m/>
    <s v="13"/>
    <s v="Remote Mumbai"/>
    <x v="0"/>
    <s v="Dushyant Devlekar (11945)"/>
    <s v="Pooja Arora (10683)"/>
    <x v="60"/>
    <d v="2025-12-03T00:00:00"/>
    <d v="2025-11-25T00:00:00"/>
    <d v="2026-04-27T00:00:00"/>
    <n v="0"/>
    <s v="Pending HM Details"/>
    <s v="400 Professional Services"/>
    <s v="Michael Teixeira (10388)"/>
    <s v="400 Professional Services"/>
    <m/>
    <m/>
    <m/>
    <m/>
    <m/>
    <s v="Hardeep Gulati (14415)"/>
    <s v="Chris McCloskey (13804)"/>
    <s v="David Nuernberg (12843)"/>
    <s v="Chris McCloskey (13804)_x000a__x000a_David Nuernberg (12843)_x000a__x000a_Hardeep Gulati (14415)_x000a__x000a_Naveen Upadhyay (14329)"/>
    <s v="Existing Position &gt; Backfill"/>
    <s v="Replacement for Vandana Bhatia"/>
  </r>
  <r>
    <s v="REQID54932"/>
    <s v="Engineering Intern"/>
    <s v="Open"/>
    <m/>
    <s v="3"/>
    <s v="Remote OH"/>
    <x v="1"/>
    <s v="Hari Thammineedi (12246)_x000a__x000a_Holly Solomon (13236)"/>
    <s v="Paul Robak (10386)"/>
    <x v="61"/>
    <d v="2025-12-05T00:00:00"/>
    <d v="2025-12-05T00:00:00"/>
    <d v="2026-01-05T00:00:00"/>
    <n v="29"/>
    <s v="Review"/>
    <s v="551 Engineering Grow"/>
    <s v="Jennifer Armstrong (10414)"/>
    <s v="551 Engineering Grow"/>
    <m/>
    <m/>
    <m/>
    <m/>
    <m/>
    <s v="Hardeep Gulati (14415)"/>
    <s v="Jeff Dutton (13506)"/>
    <s v="Jennifer Armstrong (10414)"/>
    <s v="Hardeep Gulati (14415)_x000a__x000a_Jeff Dutton (13506)_x000a__x000a_Jennifer Armstrong (10414)"/>
    <s v="New Position &gt; Unbudgeted"/>
    <s v="1 month internship for intern referral from customer. Take the 6K to fund from existing contractor budget._x000a_This is a one off winter internship we were asked to hire. We would like to be able to make an offer to them on Monday or Tuesday if possible so request immediate review/approval if possible"/>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
  <r>
    <s v="REQID52576"/>
    <s v="Customer Success Manager"/>
    <s v="Filled"/>
    <m/>
    <s v="65"/>
    <s v="Columbia Office"/>
    <x v="0"/>
    <s v="Hari Thammineedi (12246)"/>
    <s v="Mallary Reece (10438)"/>
    <s v="7394 - Manager - Customer Service Management"/>
    <d v="2021-10-21T00:00:00"/>
    <d v="2021-10-19T00:00:00"/>
    <d v="2022-01-01T00:00:00"/>
    <n v="111000"/>
    <s v="USD"/>
    <n v="1"/>
    <s v="Ready for Hire"/>
    <s v="475 CS Management, OnDemand CSMs and Onboarding"/>
    <s v="Stephanie White (10435)"/>
    <s v="475 CS Management, OnDemand CSMs and Onboarding"/>
    <s v="12945"/>
    <s v="Lissette Vega-Brown"/>
    <m/>
    <d v="2025-11-16T00:00:00"/>
    <s v="Employee Referral"/>
    <s v="Hardeep Gulati (14415)"/>
    <s v="Chris McCloskey (13804)"/>
    <s v="Stephanie White (10435)"/>
    <s v="Chris McCloskey (13804)_x000a__x000a_Dave Fielding (10975)_x000a__x000a_Hardeep Gulati (14415)_x000a__x000a_Stephanie White (10435)"/>
    <s v="New Position &gt; Planned Addition"/>
    <s v="Part of FY22 Budget"/>
  </r>
  <r>
    <s v="REQID53437"/>
    <s v="Customer Success Management, Senior Director"/>
    <s v="Filled"/>
    <m/>
    <s v="111"/>
    <s v="Remote NJ"/>
    <x v="0"/>
    <s v="Hari Thammineedi (12246)"/>
    <s v="Stephanie White (10435)"/>
    <s v="7704 - Senior Director - Customer Success"/>
    <d v="2022-12-12T00:00:00"/>
    <d v="2022-12-08T00:00:00"/>
    <d v="2023-01-16T00:00:00"/>
    <n v="180000"/>
    <s v="USD"/>
    <n v="1"/>
    <s v="Ready for Hire"/>
    <s v="475 CS Management, OnDemand CSMs and Onboarding"/>
    <s v="Stephanie White (10435)"/>
    <m/>
    <s v="10409"/>
    <s v="Ankit Shah"/>
    <m/>
    <d v="2025-10-13T00:00:00"/>
    <s v="Employee Referral"/>
    <s v="Hardeep Gulati (14415)"/>
    <s v="Chris McCloskey (13804)"/>
    <m/>
    <s v="Chris McCloskey (13804)_x000a__x000a_Hardeep Gulati (14415)"/>
    <s v="New Position &gt; Unplanned Addition"/>
    <m/>
  </r>
  <r>
    <m/>
    <m/>
    <m/>
    <m/>
    <m/>
    <m/>
    <x v="1"/>
    <m/>
    <m/>
    <m/>
    <m/>
    <m/>
    <m/>
    <m/>
    <m/>
    <m/>
    <m/>
    <m/>
    <m/>
    <m/>
    <m/>
    <m/>
    <m/>
    <m/>
    <m/>
    <m/>
    <m/>
    <m/>
    <m/>
    <m/>
    <m/>
  </r>
  <r>
    <s v="REQID54545"/>
    <s v="User Experience (UX) Intern"/>
    <s v="Filled"/>
    <m/>
    <s v="90"/>
    <s v="100 Summer Street, Boston office"/>
    <x v="0"/>
    <m/>
    <s v="Caleen Alexanderson (11037)"/>
    <s v="7370 - Intern – User Experience"/>
    <d v="2024-11-22T00:00:00"/>
    <d v="2025-01-07T00:00:00"/>
    <d v="2025-05-19T00:00:00"/>
    <n v="30"/>
    <s v="USD"/>
    <n v="1"/>
    <s v="Ready for Hire"/>
    <s v="500 Product Management"/>
    <m/>
    <m/>
    <s v="14338"/>
    <s v="Oliver Bello"/>
    <m/>
    <d v="2025-12-01T00:00:00"/>
    <s v="LinkedIn"/>
    <s v="Hardeep Gulati (14415)"/>
    <s v="Hardeep Gulati (14415)"/>
    <s v="Ethan Perry (12163)"/>
    <s v="Ethan Perry (12163)_x000a__x000a_Hardeep Gulati (14415)"/>
    <s v="New Position &gt; Budgeted"/>
    <s v="7 engineering interns and 2 ux interns (all 9 budgeted in 551 but 2 ux will be in 500)"/>
  </r>
  <r>
    <s v="REQID54548"/>
    <s v="Software Configuration Specialist II"/>
    <s v="Filled"/>
    <m/>
    <s v="210"/>
    <s v="Remote India"/>
    <x v="2"/>
    <s v="Diksha Pradhan (12759)"/>
    <s v="Tarandeepkaur Gulati (11910)"/>
    <s v="7436 - Senior Analyst - Software Configuration"/>
    <d v="2024-11-25T00:00:00"/>
    <d v="2024-11-25T00:00:00"/>
    <d v="2025-07-08T00:00:00"/>
    <n v="1669500"/>
    <s v="INR"/>
    <n v="1"/>
    <s v="Ready for Hire"/>
    <s v="400 Professional Services"/>
    <s v="Michael Teixeira (10388)"/>
    <s v="400 Professional Services"/>
    <s v="14382"/>
    <s v="Ritesh Dipte"/>
    <m/>
    <d v="2025-09-22T00:00:00"/>
    <s v="Employee Referral"/>
    <s v="Hardeep Gulati (14415)"/>
    <s v="Chris McCloskey (13804)"/>
    <s v="David Nuernberg (12843)"/>
    <s v="Ankit Singhal (11953)_x000a__x000a_Chris McCloskey (13804)_x000a__x000a_David Nuernberg (12843)_x000a__x000a_Deepak Sivaraman (10538)_x000a__x000a_Hardeep Gulati (14415)_x000a__x000a_Naveen Upadhyay (14329)"/>
    <s v="Existing Position &gt; Backfill"/>
    <s v="Replacement for Carla Petry"/>
  </r>
  <r>
    <s v="REQID54662"/>
    <s v="Software Configuration Specialist II-Policy"/>
    <s v="Filled"/>
    <m/>
    <s v="110"/>
    <s v="Remote India"/>
    <x v="2"/>
    <s v="Jaya Joshi (13426)_x000a__x000a_Reenu Sura (12333)"/>
    <s v="Sumit Gurjar (10029)"/>
    <s v="7436 - Senior Analyst - Software Configuration"/>
    <d v="2025-03-05T00:00:00"/>
    <d v="2025-03-05T00:00:00"/>
    <d v="2025-09-15T00:00:00"/>
    <n v="1669500"/>
    <s v="INR"/>
    <n v="1"/>
    <s v="Ready for Hire"/>
    <s v="400 Professional Services"/>
    <s v="Michael Teixeira (10388)"/>
    <s v="400 Professional Services"/>
    <s v="14380"/>
    <s v="Zinneerah Firdaus Mirza (Zinneerah Firdaus Mirza)"/>
    <m/>
    <d v="2025-09-15T00:00:00"/>
    <s v="Employee Referral"/>
    <s v="Hardeep Gulati (14415)"/>
    <s v="Chris McCloskey (13804)"/>
    <s v="David Nuernberg (12843)"/>
    <s v="Chris McCloskey (13804)_x000a__x000a_David Nuernberg (12843)_x000a__x000a_Deepak Sivaraman (10538)_x000a__x000a_Hardeep Gulati (14415)_x000a__x000a_Hemangee Shirish Purohit (10882)_x000a__x000a_Naveen Upadhyay (14329)"/>
    <s v="Existing Position &gt; Backfill"/>
    <s v="Replacement for Swati Yadav"/>
  </r>
  <r>
    <s v="REQID54677"/>
    <s v="Senior Director, Customer Success Manager - P/C Insurance"/>
    <s v="Filled"/>
    <m/>
    <s v="187"/>
    <s v="Remote NJ"/>
    <x v="0"/>
    <s v="Hari Thammineedi (12246)"/>
    <s v="Dave Fielding (10975)"/>
    <s v="7784 - Senior Director (MGMT) - CS Management"/>
    <d v="2025-03-28T00:00:00"/>
    <d v="2025-03-26T00:00:00"/>
    <d v="2025-04-01T00:00:00"/>
    <n v="200000"/>
    <s v="USD"/>
    <n v="1"/>
    <s v="Ready for Hire"/>
    <s v="475 CS Management, OnDemand CSMs and Onboarding"/>
    <s v="Stephanie White (10435)"/>
    <s v="475 CS Management, OnDemand CSMs and Onboarding"/>
    <s v="10409"/>
    <s v="Ankit Shah"/>
    <m/>
    <d v="2025-10-13T00:00:00"/>
    <s v="Employee Referral"/>
    <s v="Hardeep Gulati (14415)"/>
    <s v="Chris McCloskey (13804)"/>
    <s v="Stephanie White (10435)"/>
    <s v="Chris McCloskey (13804)_x000a__x000a_Hardeep Gulati (14415)_x000a__x000a_Stephanie White (10435)"/>
    <s v="Existing Position &gt; Backfill"/>
    <s v="backfill Joshua Berry who transferred to Sales in December 2024"/>
  </r>
  <r>
    <s v="REQID54674"/>
    <s v="Software Configuration Specialist II"/>
    <s v="Filled"/>
    <m/>
    <s v="77"/>
    <s v="Remote India"/>
    <x v="2"/>
    <s v="Diksha Pradhan (12759)"/>
    <s v="Aditya Sharma (11568)"/>
    <s v="7436 - Senior Analyst - Software Configuration"/>
    <d v="2025-04-07T00:00:00"/>
    <d v="2025-04-15T00:00:00"/>
    <d v="2025-09-01T00:00:00"/>
    <n v="1555520"/>
    <s v="INR"/>
    <n v="1"/>
    <s v="Ready for Hire"/>
    <s v="400 Professional Services"/>
    <s v="Michael Teixeira (10388)"/>
    <s v="400 Professional Services"/>
    <s v="14385"/>
    <s v="Sumit Kumar"/>
    <m/>
    <d v="2025-09-29T00:00:00"/>
    <s v="Duck Creek Career Site"/>
    <s v="Hardeep Gulati (14415)"/>
    <s v="Chris McCloskey (13804)"/>
    <s v="David Nuernberg (12843)"/>
    <s v="Chris McCloskey (13804)_x000a__x000a_David Nuernberg (12843)_x000a__x000a_Deepak Sivaraman (10538)_x000a__x000a_Hardeep Gulati (14415)_x000a__x000a_Naveen Upadhyay (14329)_x000a__x000a_Raghuraj Singh (11614)"/>
    <s v="Existing Position &gt; Backfill"/>
    <s v="Replacement for Snehal Dhage"/>
  </r>
  <r>
    <s v="REQID54678"/>
    <s v="QA Tester II"/>
    <s v="Filled"/>
    <m/>
    <s v="59"/>
    <s v="Remote India"/>
    <x v="2"/>
    <s v="Dushyant Devlekar (11945)"/>
    <s v="Deepti Sreejit Kayiparambil (13619)"/>
    <s v="7377 - Senior Analyst – Quality Assurance"/>
    <d v="2025-04-07T00:00:00"/>
    <d v="2025-04-15T00:00:00"/>
    <d v="2025-09-22T00:00:00"/>
    <n v="2025000"/>
    <s v="INR"/>
    <n v="1"/>
    <s v="Ready for Hire"/>
    <s v="400 Professional Services"/>
    <s v="Michael Teixeira (10388)"/>
    <s v="400 Professional Services"/>
    <s v="14375"/>
    <s v="Pradip Tate"/>
    <m/>
    <d v="2025-09-22T00:00:00"/>
    <s v="Duck Creek Career Site"/>
    <s v="Hardeep Gulati (14415)"/>
    <s v="Chris McCloskey (13804)"/>
    <s v="David Nuernberg (12843)"/>
    <s v="Chris McCloskey (13804)_x000a__x000a_David Nuernberg (12843)_x000a__x000a_Divya Shelke (12200)_x000a__x000a_Hardeep Gulati (14415)_x000a__x000a_Jigar Thakkar (10602)_x000a__x000a_Naveen Upadhyay (14329)"/>
    <s v="Existing Position &gt; Backfill"/>
    <s v="Replacement for Jayashree Swamynathan"/>
  </r>
  <r>
    <s v="REQID54698"/>
    <s v="Manager, Customer Success Manager"/>
    <s v="Filled"/>
    <m/>
    <s v="71"/>
    <s v="Sydney Office"/>
    <x v="3"/>
    <s v="Diksha Pradhan (12759)_x000a__x000a_Dushyant Devlekar (11945)"/>
    <s v="Anna Cattelan (13760)"/>
    <s v="7787 - Manager (IC) - Customer Success Management"/>
    <d v="2025-04-18T00:00:00"/>
    <d v="2025-06-12T00:00:00"/>
    <d v="2025-08-31T00:00:00"/>
    <n v="167590.07999999999"/>
    <s v="AUD"/>
    <n v="1"/>
    <s v="Ready for Hire"/>
    <s v="475 CS Management, OnDemand CSMs and Onboarding"/>
    <s v="Stephanie White (10435)"/>
    <s v="475 CS Management, OnDemand CSMs and Onboarding"/>
    <s v="14402"/>
    <s v="George Jevric"/>
    <m/>
    <d v="2025-09-22T00:00:00"/>
    <s v="LinkedIn"/>
    <s v="Hardeep Gulati (14415)"/>
    <s v="Chris McCloskey (13804)"/>
    <s v="Stephanie White (10435)"/>
    <s v="Chris McCloskey (13804)_x000a__x000a_Dave Fielding (10975)_x000a__x000a_Hardeep Gulati (14415)_x000a__x000a_Stephanie White (10435)"/>
    <s v="Existing Position &gt; Backfill"/>
    <s v="backfill to be determined"/>
  </r>
  <r>
    <s v="REQID54710"/>
    <s v="Software Configuration Specialist I"/>
    <s v="Filled"/>
    <m/>
    <s v="96"/>
    <s v="Remote India"/>
    <x v="2"/>
    <s v="Jaya Joshi (13426)"/>
    <s v="Amol Talele (11809)"/>
    <s v="7437 - Analyst II (IC) - Software Configuration"/>
    <d v="2025-05-02T00:00:00"/>
    <d v="2025-04-18T00:00:00"/>
    <d v="2025-06-30T00:00:00"/>
    <n v="1395000"/>
    <s v="INR"/>
    <n v="1"/>
    <s v="Ready for Hire"/>
    <s v="400 Professional Services"/>
    <s v="Michael Teixeira (10388)"/>
    <s v="400 Professional Services"/>
    <s v="14390"/>
    <s v="Anil Ghagre"/>
    <m/>
    <d v="2025-10-20T00:00:00"/>
    <s v="Naukri.com"/>
    <s v="Hardeep Gulati (14415)"/>
    <s v="Chris McCloskey (13804)"/>
    <s v="David Nuernberg (12843)"/>
    <s v="Chris McCloskey (13804)_x000a__x000a_David Nuernberg (12843)_x000a__x000a_Deepak Sivaraman (10538)_x000a__x000a_Hardeep Gulati (14415)_x000a__x000a_Naveen Upadhyay (14329)_x000a__x000a_Santosh Garje (11784)"/>
    <s v="Existing Position &gt; Backfill"/>
    <s v="Replacement for Pritesh Shahare"/>
  </r>
  <r>
    <s v="REQID54692"/>
    <s v="QA Tester II"/>
    <s v="Filled"/>
    <m/>
    <s v="26"/>
    <s v="Remote India"/>
    <x v="2"/>
    <s v="Dushyant Devlekar (11945)"/>
    <s v="Sonica Sirohi (13509)"/>
    <s v="7377 - Senior Analyst – Quality Assurance"/>
    <d v="2025-05-02T00:00:00"/>
    <d v="2025-05-02T00:00:00"/>
    <d v="2025-09-29T00:00:00"/>
    <n v="2146500"/>
    <s v="INR"/>
    <n v="1"/>
    <s v="Ready for Hire"/>
    <s v="400 Professional Services"/>
    <s v="Michael Teixeira (10388)"/>
    <s v="400 Professional Services"/>
    <s v="14367"/>
    <s v="Rahul Gupta"/>
    <m/>
    <d v="2025-09-01T00:00:00"/>
    <s v="LinkedIn"/>
    <s v="Hardeep Gulati (14415)"/>
    <s v="Chris McCloskey (13804)"/>
    <s v="David Nuernberg (12843)"/>
    <s v="Chris McCloskey (13804)_x000a__x000a_David Nuernberg (12843)_x000a__x000a_Divya Shelke (12200)_x000a__x000a_Hardeep Gulati (14415)_x000a__x000a_Jigar Thakkar (10602)_x000a__x000a_Naveen Upadhyay (14329)"/>
    <s v="Existing Position &gt; Backfill"/>
    <s v="Replacement for Kalpesh Raut"/>
  </r>
  <r>
    <s v="REQID54689"/>
    <s v="Software Configuration Specialist III"/>
    <s v="Filled"/>
    <m/>
    <s v="140"/>
    <s v="Remote India"/>
    <x v="2"/>
    <s v="Dushyant Devlekar (11945)"/>
    <s v="Virendra Vishram Ahir (10008)"/>
    <s v="7435 - Associate Manager - Software Configuration"/>
    <d v="2025-05-02T00:00:00"/>
    <d v="2025-05-02T00:00:00"/>
    <d v="2025-10-29T00:00:00"/>
    <n v="2756000"/>
    <s v="INR"/>
    <n v="1"/>
    <s v="Ready for Hire"/>
    <s v="400 Professional Services"/>
    <s v="Michael Teixeira (10388)"/>
    <s v="400 Professional Services"/>
    <s v="14410"/>
    <s v="Yogesh Ghonate"/>
    <m/>
    <d v="2025-10-29T00:00:00"/>
    <s v="Employee Referral"/>
    <s v="Hardeep Gulati (14415)"/>
    <s v="Chris McCloskey (13804)"/>
    <s v="David Nuernberg (12843)"/>
    <s v="Aditi Roy (10563)_x000a__x000a_Chris McCloskey (13804)_x000a__x000a_David Nuernberg (12843)_x000a__x000a_Deepak Sivaraman (10538)_x000a__x000a_Hardeep Gulati (14415)_x000a__x000a_Naveen Upadhyay (14329)"/>
    <s v="Existing Position &gt; Backfill"/>
    <s v="Replacement for Kalpesh Raut"/>
  </r>
  <r>
    <s v="REQID54713"/>
    <s v="Software Engineer I"/>
    <s v="Filled"/>
    <m/>
    <s v="80"/>
    <s v="Remote India"/>
    <x v="2"/>
    <s v="Dushyant Devlekar (11945)"/>
    <s v="Amit Sharma (14300)"/>
    <s v="7306 - Associate Manager - Software Engineering"/>
    <d v="2025-05-05T00:00:00"/>
    <d v="2025-05-20T00:00:00"/>
    <d v="2025-10-15T00:00:00"/>
    <n v="3421800"/>
    <s v="INR"/>
    <n v="1"/>
    <s v="Ready for Hire"/>
    <s v="551 Engineering Grow"/>
    <s v="Jennifer Armstrong (10414)"/>
    <s v="551 Engineering Grow"/>
    <s v="14398"/>
    <s v="Jagdish Gujar"/>
    <m/>
    <d v="2025-10-15T00:00:00"/>
    <s v="Employee Referral"/>
    <s v="Hardeep Gulati (14415)"/>
    <s v="Jeff Dutton (13506)"/>
    <s v="Jennifer Armstrong (10414)"/>
    <s v="Hardeep Gulati (14415)_x000a__x000a_Jay Pierson (14423)_x000a__x000a_Jeff Dutton (13506)_x000a__x000a_Jennifer Armstrong (10414)_x000a__x000a_Paul Robak (10386)"/>
    <s v="Existing Position &gt; Backfill"/>
    <s v="Revising salary to coincide with the new market rates. Kira - this is n the list of modifications and they are ready to make an offer._x000a__x000a_Shreya resigned immediately upon joining so opening this backfill position for billing._x000a__x000a_10 additional engineers to assist with unblocking defects for customer go lives.    These are new FTEs and are not included in the current AOP."/>
  </r>
  <r>
    <s v="REQID54724"/>
    <s v="Software Engineer II"/>
    <s v="Filled"/>
    <m/>
    <s v="56"/>
    <s v="Remote India"/>
    <x v="2"/>
    <s v="Jaya Joshi (13426)"/>
    <s v="Shakeel Ahmed Shah (10625)"/>
    <s v="7305 - Manager - Software Engineering"/>
    <d v="2025-05-06T00:00:00"/>
    <d v="2025-05-05T00:00:00"/>
    <d v="2025-06-23T00:00:00"/>
    <n v="3024000"/>
    <s v="INR"/>
    <n v="1"/>
    <s v="Ready for Hire"/>
    <s v="551 Engineering Grow"/>
    <s v="Jennifer Armstrong (10414)"/>
    <s v="551 Engineering Grow"/>
    <s v="14384"/>
    <s v="Raj Patil"/>
    <m/>
    <d v="2025-10-02T00:00:00"/>
    <s v="Naukri.com"/>
    <s v="Hardeep Gulati (14415)"/>
    <s v="Jeff Dutton (13506)"/>
    <s v="Jennifer Armstrong (10414)"/>
    <s v="Hardeep Gulati (14415)_x000a__x000a_Jeff Dutton (13506)_x000a__x000a_Jennifer Armstrong (10414)_x000a__x000a_Sevket Yapar (13974)"/>
    <s v="Existing Position &gt; Backfill"/>
    <s v="Duplicate of REQID54570 which was closed during initial 6+6 reduction exercise but then re-funded which required creating new requisitions._x000a__x000a_Creating 5 India based positions to backfill 1 US and 2 India resources. All at manager level. Across this there will be an additional 10K USD in savings to apply to our debit credit._x000a_Packiaseeli Ajantha,Jayagopi, Manikandan,Folker Ginger"/>
  </r>
  <r>
    <s v="REQID54725"/>
    <s v="Software Engineer II"/>
    <s v="Filled"/>
    <m/>
    <s v="116"/>
    <s v="Remote India"/>
    <x v="2"/>
    <s v="Jaya Joshi (13426)"/>
    <s v="Saurabh Singh Shaktawat (10919)"/>
    <s v="7305 - Manager - Software Engineering"/>
    <d v="2025-05-06T00:00:00"/>
    <d v="2025-05-22T00:00:00"/>
    <d v="2025-09-24T00:00:00"/>
    <n v="4000000"/>
    <s v="INR"/>
    <n v="1"/>
    <s v="Ready for Hire"/>
    <s v="551 Engineering Grow"/>
    <s v="Jennifer Armstrong (10414)"/>
    <s v="551 Engineering Grow"/>
    <s v="14408"/>
    <s v="Amitha Battula"/>
    <m/>
    <d v="2025-09-29T00:00:00"/>
    <s v="Duck Creek Career Site"/>
    <s v="Hardeep Gulati (14415)"/>
    <s v="Jeff Dutton (13506)"/>
    <s v="Jennifer Armstrong (10414)"/>
    <s v="Greg James (13741)_x000a__x000a_Hardeep Gulati (14415)_x000a__x000a_Jeff Dutton (13506)_x000a__x000a_Jennifer Armstrong (10414)"/>
    <s v="Existing Position &gt; Backfill"/>
    <s v="9/9-resource had backed out and now have identified strong new candidate but requires 4M INR (had adjusted all others to this amount but not this one since there was a candidate aligned at 36M INR). Pull from debit credit_x000a__x000a_Duplicate of REQID54434 which was closed during initial 6+6 reduction exercise but then re-funded which required creating new requisitions._x000a__x000a_In plan listed as REQID_India_L&amp;S_01 to REQID_India_L&amp;S_06. Some levels and salaries have changed but across all 6 the budget is the same. Policy COE. This is 2 of 6"/>
  </r>
  <r>
    <s v="REQID54727"/>
    <s v="Infrastructure Operations Engineer II"/>
    <s v="Filled"/>
    <m/>
    <s v="35"/>
    <s v="Remote India"/>
    <x v="2"/>
    <s v="Diksha Pradhan (12759)"/>
    <s v="Tausif Shaikh (11417)"/>
    <s v="7428 - Manager (IC) – Cloud Engineer II"/>
    <d v="2025-05-06T00:00:00"/>
    <d v="2025-05-15T00:00:00"/>
    <d v="2025-09-12T00:00:00"/>
    <n v="3500000"/>
    <s v="INR"/>
    <n v="1"/>
    <s v="Ready for Hire"/>
    <s v="551 Engineering Grow"/>
    <s v="Jennifer Armstrong (10414)"/>
    <s v="551 Engineering Grow"/>
    <s v="14378"/>
    <s v="Lekh Raj"/>
    <m/>
    <d v="2025-09-22T00:00:00"/>
    <s v="Duck Creek Recruiter"/>
    <s v="Hardeep Gulati (14415)"/>
    <s v="Jeff Dutton (13506)"/>
    <s v="Will Milewski (14407)"/>
    <s v="Aiden Janssen (13857)_x000a__x000a_Enrique Romero Jr. (13958)_x000a__x000a_Hardeep Gulati (14415)_x000a__x000a_Jeff Dutton (13506)_x000a__x000a_Lionel Martinez (14046)_x000a__x000a_Will Milewski (14407)"/>
    <s v="Existing Position &gt; Backfill"/>
    <s v="Duplicate of REQID54402 which was closed during initial 6+6 reduction exercise but then re-funded which required creating new requisitions._x000a__x000a_REQID_India_BAU_02_x000a_--------------------------------_x000a_date 15-May_x000a__x000a_Lowering this level and role change from SRE to SaaS infra ops"/>
  </r>
  <r>
    <s v="REQID54738"/>
    <s v="Director, Delivery"/>
    <s v="Filled"/>
    <m/>
    <s v="97"/>
    <s v="Sydney Office"/>
    <x v="3"/>
    <s v="Diksha Pradhan (12759)"/>
    <s v="Naveen Upadhyay (14329)"/>
    <s v="7383 - Director – Services Project Management MGT"/>
    <d v="2025-05-27T00:00:00"/>
    <d v="2025-05-30T00:00:00"/>
    <d v="2025-10-27T00:00:00"/>
    <n v="220500"/>
    <s v="AUD"/>
    <n v="1"/>
    <s v="Ready for Hire"/>
    <s v="400 Professional Services"/>
    <s v="Michael Teixeira (10388)"/>
    <s v="400 Professional Services"/>
    <s v="14405"/>
    <s v="Rahul Kulkarni"/>
    <m/>
    <d v="2025-09-22T00:00:00"/>
    <s v="LinkedIn"/>
    <s v="Hardeep Gulati (14415)"/>
    <s v="Chris McCloskey (13804)"/>
    <s v="David Nuernberg (12843)"/>
    <s v="Chris McCloskey (13804)_x000a__x000a_David Nuernberg (12843)_x000a__x000a_Hardeep Gulati (14415)"/>
    <s v="Existing Position &gt; Backfill"/>
    <s v="Replacement for Joe Guillen"/>
  </r>
  <r>
    <s v="REQID54741"/>
    <s v="Business Analyst III"/>
    <s v="Filled"/>
    <m/>
    <s v="108"/>
    <s v="Remote India"/>
    <x v="2"/>
    <s v="Dushyant Devlekar (11945)"/>
    <s v="Milind Talele (14090)"/>
    <s v="7461 - Associate Manager (IC) - Business Analysis"/>
    <d v="2025-05-27T00:00:00"/>
    <d v="2025-05-19T00:00:00"/>
    <d v="2025-11-24T00:00:00"/>
    <n v="3256800"/>
    <s v="INR"/>
    <n v="1"/>
    <s v="Ready for Hire"/>
    <s v="400 Professional Services"/>
    <s v="Michael Teixeira (10388)"/>
    <s v="400 Professional Services"/>
    <s v="14404"/>
    <s v="Arijit Tah"/>
    <m/>
    <d v="2025-11-24T00:00:00"/>
    <s v="Duck Creek Recruiter"/>
    <s v="Hardeep Gulati (14415)"/>
    <s v="Chris McCloskey (13804)"/>
    <s v="David Nuernberg (12843)"/>
    <s v="Chris McCloskey (13804)_x000a__x000a_David Nuernberg (12843)_x000a__x000a_Hardeep Gulati (14415)_x000a__x000a_Koustubh Tilak (10469)_x000a__x000a_Naveen Upadhyay (14329)"/>
    <s v="Existing Position &gt; Backfill"/>
    <s v="Replacement for Sweta Singh and Mandip Singh"/>
  </r>
  <r>
    <s v="REQID54746"/>
    <s v="Senior Vice President, Technology Operations"/>
    <s v="Filled"/>
    <m/>
    <s v="98"/>
    <s v="Remote SC"/>
    <x v="0"/>
    <s v="Holly Solomon (13236)"/>
    <s v="Jeff Dutton (13506)"/>
    <s v="7940 - SVP (MGMT) - Product &amp; Technology Ops"/>
    <d v="2025-06-13T00:00:00"/>
    <d v="2025-06-04T00:00:00"/>
    <d v="2025-06-16T00:00:00"/>
    <n v="440000"/>
    <s v="USD"/>
    <n v="1"/>
    <s v="Ready for Hire"/>
    <s v="500 Product Management"/>
    <m/>
    <s v="551 Engineering Grow"/>
    <s v="14407"/>
    <s v="Will Milewski"/>
    <m/>
    <d v="2025-09-22T00:00:00"/>
    <s v="Other"/>
    <s v="Hardeep Gulati (14415)"/>
    <m/>
    <m/>
    <s v="Hardeep Gulati (14415)"/>
    <s v="New Position &gt; Budgeted"/>
    <s v="Operations lead role required for Cloud Operations and App Support"/>
  </r>
  <r>
    <s v="REQID54751"/>
    <s v="Director, Engineering- Billing"/>
    <s v="Filled"/>
    <m/>
    <s v="60"/>
    <s v="Remote TX"/>
    <x v="0"/>
    <s v="Holly Solomon (13236)"/>
    <s v="Paul Robak (10386)"/>
    <s v="7301 - Director (MGMT) - Engineering"/>
    <d v="2025-06-24T00:00:00"/>
    <d v="2025-08-21T00:00:00"/>
    <d v="2025-10-20T00:00:00"/>
    <n v="221000"/>
    <s v="USD"/>
    <n v="7"/>
    <s v="Ready for Hire"/>
    <s v="551 Engineering Grow"/>
    <s v="Jennifer Armstrong (10414)"/>
    <s v="551 Engineering Grow"/>
    <s v="14423"/>
    <s v="Jay Pierson"/>
    <m/>
    <d v="2025-11-03T00:00:00"/>
    <s v="Duck Creek Recruiter"/>
    <s v="Hardeep Gulati (14415)"/>
    <s v="Jeff Dutton (13506)"/>
    <s v="Jennifer Armstrong (10414)"/>
    <s v="Hardeep Gulati (14415)_x000a__x000a_Jeff Dutton (13506)_x000a__x000a_Jennifer Armstrong (10414)"/>
    <s v="Existing Position &gt; Backfill"/>
    <s v="Backfill for billing engineering lead. No financial impact"/>
  </r>
  <r>
    <s v="REQID54760"/>
    <s v="Cloud Senior Network Engineer "/>
    <s v="Filled"/>
    <m/>
    <s v="51"/>
    <s v="Remote GA"/>
    <x v="0"/>
    <s v="Holly Solomon (13236)"/>
    <s v="Lionel Martinez (14046)"/>
    <s v="7427 - Senior Manager (IC) – Cloud"/>
    <d v="2025-07-01T00:00:00"/>
    <d v="2025-06-30T00:00:00"/>
    <d v="2025-09-01T00:00:00"/>
    <n v="185000"/>
    <s v="USD"/>
    <n v="1"/>
    <s v="Ready for Hire"/>
    <s v="480 OnDemand SaaS Operations"/>
    <s v="Will Milewski (14407)"/>
    <m/>
    <s v="14401"/>
    <s v="Aaron Molina"/>
    <m/>
    <d v="2025-09-02T00:00:00"/>
    <s v="Other"/>
    <s v="Hardeep Gulati (14415)"/>
    <s v="Jeff Dutton (13506)"/>
    <s v="Will Milewski (14407)"/>
    <s v="Aiden Janssen (13857)_x000a__x000a_Enrique Romero Jr. (13958)_x000a__x000a_Hardeep Gulati (14415)_x000a__x000a_Jeff Dutton (13506)_x000a__x000a_Will Milewski (14407)"/>
    <s v="Existing Position &gt; Backfill"/>
    <s v="backfill for Olumuyiwa Olufunso who started but was then termed 6/25/25"/>
  </r>
  <r>
    <s v="REQID54762"/>
    <s v="Manager - Solution Consulting"/>
    <s v="Filled"/>
    <m/>
    <s v="58"/>
    <s v="Remote CT"/>
    <x v="0"/>
    <s v="Hari Thammineedi (12246)"/>
    <s v="Jim Keeley (11501)"/>
    <s v="7120 - Manager (IC) - Solution Consulting"/>
    <d v="2025-07-03T00:00:00"/>
    <d v="2025-06-30T00:00:00"/>
    <d v="2025-09-01T00:00:00"/>
    <n v="140000"/>
    <s v="USD"/>
    <n v="1"/>
    <s v="Ready for Hire"/>
    <s v="250 Pre Sales"/>
    <s v="Alicia Kern (11307)"/>
    <s v="250 Pre Sales"/>
    <s v="14403"/>
    <s v="Andrea Mazurek"/>
    <m/>
    <d v="2025-09-05T00:00:00"/>
    <s v="LinkedIn"/>
    <s v="Hardeep Gulati (14415)"/>
    <s v="William Magowan (10415)"/>
    <s v="Alicia Kern (11307)"/>
    <s v="Alicia Kern (11307)_x000a__x000a_Hardeep Gulati (14415)_x000a__x000a_William Magowan (10415)"/>
    <s v="Existing Position &gt; Backfill"/>
    <s v="We are using backfill from Rebecca Gus to fund this position in the US."/>
  </r>
  <r>
    <s v="REQID54761"/>
    <s v="National Specialty Software Sales Associate Manager"/>
    <s v="Filled"/>
    <m/>
    <s v="56"/>
    <s v="Remote MO"/>
    <x v="0"/>
    <s v="Hari Thammineedi (12246)"/>
    <s v="Ryan Nagy (14150)"/>
    <s v="7958 - Manager (IC) - Specialty Products"/>
    <d v="2025-07-03T00:00:00"/>
    <d v="2025-06-30T00:00:00"/>
    <d v="2025-07-21T00:00:00"/>
    <n v="150000"/>
    <s v="USD"/>
    <n v="1"/>
    <s v="Ready for Hire"/>
    <s v="200 Sales"/>
    <s v="William Magowan (10415)"/>
    <s v="200 Sales"/>
    <s v="12604"/>
    <s v="Parker Hall"/>
    <m/>
    <d v="2025-09-02T00:00:00"/>
    <s v="Employee Referral"/>
    <s v="Hardeep Gulati (14415)"/>
    <s v="William Magowan (10415)"/>
    <m/>
    <s v="Hardeep Gulati (14415)_x000a__x000a_William Magowan (10415)"/>
    <s v="Existing Position &gt; Backfill"/>
    <s v="Backfill for Reilly Reid as he is moving to EMEA"/>
  </r>
  <r>
    <s v="REQID54763"/>
    <s v="Director, Event Marketing"/>
    <s v="Filled"/>
    <m/>
    <s v="36"/>
    <s v="Remote MO"/>
    <x v="0"/>
    <s v="Holly Solomon (13236)"/>
    <s v="Tyler Jones (14354)"/>
    <s v="7653 - Director (MGMT) - Events"/>
    <d v="2025-07-08T00:00:00"/>
    <d v="2025-07-09T00:00:00"/>
    <d v="2025-09-01T00:00:00"/>
    <n v="199000"/>
    <s v="USD"/>
    <n v="1"/>
    <s v="Ready for Hire"/>
    <s v="300 Marketing"/>
    <s v="Dennis Dougherty (13014)"/>
    <s v="300 Marketing"/>
    <s v="14400"/>
    <s v="Maribeth Nash"/>
    <m/>
    <d v="2025-09-02T00:00:00"/>
    <s v="Employee Referral"/>
    <s v="Hardeep Gulati (14415)"/>
    <m/>
    <m/>
    <s v="Hardeep Gulati (14415)"/>
    <s v="Existing Position &gt; Backfill"/>
    <s v="backfill for Kimberly Rowell whose last day is 7/16"/>
  </r>
  <r>
    <s v="REQID54768"/>
    <s v="Manager, Content Configuration (Policy Product)"/>
    <s v="Filled"/>
    <m/>
    <s v="69"/>
    <s v="Remote Mumbai"/>
    <x v="2"/>
    <s v="Reenu Sura (12333)"/>
    <s v="Amy Toler (10923)"/>
    <s v="7967 - Manager (MGMT) - CS Upgrades"/>
    <d v="2025-07-23T00:00:00"/>
    <d v="2025-07-10T00:00:00"/>
    <d v="2025-09-01T00:00:00"/>
    <n v="4000000"/>
    <s v="INR"/>
    <n v="1"/>
    <s v="Ready for Hire"/>
    <s v="481 CS Engineering"/>
    <s v="Stephanie White (10435)"/>
    <s v="481 CS Engineering"/>
    <s v="14409"/>
    <s v="Pradeep Fere"/>
    <m/>
    <d v="2025-09-24T00:00:00"/>
    <s v="LinkedIn"/>
    <s v="Hardeep Gulati (14415)"/>
    <s v="Chris McCloskey (13804)"/>
    <s v="Stephanie White (10435)"/>
    <s v="Chris McCloskey (13804)_x000a__x000a_Hardeep Gulati (14415)_x000a__x000a_Preston McCamy (10390)_x000a__x000a_Stephanie White (10435)"/>
    <s v="Existing Position &gt; Backfill"/>
    <s v="backfill Jacob Knudsen, move position to India and increase role from Senior Analyst to Manager"/>
  </r>
  <r>
    <s v="REQID54782"/>
    <s v="Software Configuration Associate"/>
    <s v="Filled"/>
    <m/>
    <s v="117"/>
    <s v="Mumbai Office"/>
    <x v="2"/>
    <s v="Diksha Pradhan (12759)"/>
    <s v="Vikas Lalotra (11576)"/>
    <s v="7815 - Analyst I (IC) - Software Configuration"/>
    <d v="2025-07-30T00:00:00"/>
    <d v="2025-07-30T00:00:00"/>
    <d v="2026-01-05T00:00:00"/>
    <n v="725000"/>
    <s v="INR"/>
    <n v="1"/>
    <s v="Ready for Hire"/>
    <s v="400 Professional Services"/>
    <s v="Michael Teixeira (10388)"/>
    <s v="400 Professional Services"/>
    <s v="14445"/>
    <s v="Harsh Khanvilkar"/>
    <m/>
    <d v="2026-01-05T00:00:00"/>
    <s v="LinkedIn"/>
    <s v="Hardeep Gulati (14415)"/>
    <s v="Chris McCloskey (13804)"/>
    <s v="David Nuernberg (12843)"/>
    <s v="Chris McCloskey (13804)_x000a__x000a_David Nuernberg (12843)_x000a__x000a_Deepak Sivaraman (10538)_x000a__x000a_Hardeep Gulati (14415)_x000a__x000a_Naveen Upadhyay (14329)_x000a__x000a_Raghuraj Singh (11614)"/>
    <s v="New Position &gt; Budgeted"/>
    <s v="TAP Program"/>
  </r>
  <r>
    <s v="REQID54783"/>
    <s v="Software Configuration Associate"/>
    <s v="Filled"/>
    <m/>
    <s v="79"/>
    <s v="Mumbai Office"/>
    <x v="2"/>
    <s v="Dushyant Devlekar (11945)"/>
    <s v="Amita Ajay Bhanose (10209)"/>
    <s v="7815 - Analyst I (IC) - Software Configuration"/>
    <d v="2025-07-30T00:00:00"/>
    <d v="2025-07-30T00:00:00"/>
    <d v="2026-01-05T00:00:00"/>
    <n v="725000"/>
    <s v="INR"/>
    <n v="1"/>
    <s v="Ready for Hire"/>
    <s v="400 Professional Services"/>
    <s v="Michael Teixeira (10388)"/>
    <s v="400 Professional Services"/>
    <s v="14419"/>
    <s v="Aditya Mane"/>
    <m/>
    <d v="2026-01-05T00:00:00"/>
    <s v="Duck Creek Career Site"/>
    <s v="Hardeep Gulati (14415)"/>
    <s v="Chris McCloskey (13804)"/>
    <s v="David Nuernberg (12843)"/>
    <s v="Chris McCloskey (13804)_x000a__x000a_David Nuernberg (12843)_x000a__x000a_Hardeep Gulati (14415)_x000a__x000a_Jignesh Sanghani (10468)_x000a__x000a_Naveen Upadhyay (14329)"/>
    <s v="New Position &gt; Budgeted"/>
    <s v="TAP Program"/>
  </r>
  <r>
    <s v="REQID54784"/>
    <s v="Software Configuration Associate"/>
    <s v="Filled"/>
    <m/>
    <s v="97"/>
    <s v="Mumbai Office"/>
    <x v="2"/>
    <s v="Dushyant Devlekar (11945)"/>
    <s v="Amita Ajay Bhanose (10209)"/>
    <s v="7815 - Analyst I (IC) - Software Configuration"/>
    <d v="2025-07-30T00:00:00"/>
    <d v="2025-07-30T00:00:00"/>
    <d v="2026-01-05T00:00:00"/>
    <n v="725000"/>
    <s v="INR"/>
    <n v="1"/>
    <s v="Ready for Hire"/>
    <s v="400 Professional Services"/>
    <s v="Michael Teixeira (10388)"/>
    <s v="400 Professional Services"/>
    <s v="14433"/>
    <s v="Kirti Tiwari"/>
    <m/>
    <d v="2026-01-05T00:00:00"/>
    <s v="Duck Creek Career Site"/>
    <s v="Hardeep Gulati (14415)"/>
    <s v="Chris McCloskey (13804)"/>
    <s v="David Nuernberg (12843)"/>
    <s v="Chris McCloskey (13804)_x000a__x000a_David Nuernberg (12843)_x000a__x000a_Hardeep Gulati (14415)_x000a__x000a_Jignesh Sanghani (10468)_x000a__x000a_Naveen Upadhyay (14329)"/>
    <s v="New Position &gt; Budgeted"/>
    <s v="TAP Program"/>
  </r>
  <r>
    <s v="REQID54785"/>
    <s v="Software Configuration Associate"/>
    <s v="Filled"/>
    <m/>
    <s v="79"/>
    <s v="Mumbai Office"/>
    <x v="2"/>
    <s v="Dushyant Devlekar (11945)"/>
    <s v="Moucktik Mukherjee (10084)"/>
    <s v="7815 - Analyst I (IC) - Software Configuration"/>
    <d v="2025-07-30T00:00:00"/>
    <d v="2025-07-30T00:00:00"/>
    <d v="2026-01-05T00:00:00"/>
    <n v="725000"/>
    <s v="INR"/>
    <n v="1"/>
    <s v="Ready for Hire"/>
    <s v="400 Professional Services"/>
    <s v="Michael Teixeira (10388)"/>
    <s v="400 Professional Services"/>
    <s v="14420"/>
    <s v="Pradeep Bind"/>
    <m/>
    <d v="2026-01-05T00:00:00"/>
    <s v="Other"/>
    <s v="Hardeep Gulati (14415)"/>
    <s v="Chris McCloskey (13804)"/>
    <s v="David Nuernberg (12843)"/>
    <s v="Chris McCloskey (13804)_x000a__x000a_David Nuernberg (12843)_x000a__x000a_Hardeep Gulati (14415)_x000a__x000a_Jignesh Sanghani (10468)_x000a__x000a_Naveen Upadhyay (14329)"/>
    <s v="New Position &gt; Budgeted"/>
    <s v="TAP Program"/>
  </r>
  <r>
    <s v="REQID54786"/>
    <s v="Software Configuration Associate"/>
    <s v="Filled"/>
    <m/>
    <s v="79"/>
    <s v="Mumbai Office"/>
    <x v="2"/>
    <s v="Dushyant Devlekar (11945)"/>
    <s v="Shraddha Balkrishna Misal (10307)"/>
    <s v="7815 - Analyst I (IC) - Software Configuration"/>
    <d v="2025-07-30T00:00:00"/>
    <d v="2025-07-30T00:00:00"/>
    <d v="2026-01-05T00:00:00"/>
    <n v="725000"/>
    <s v="INR"/>
    <n v="1"/>
    <s v="Ready for Hire"/>
    <s v="400 Professional Services"/>
    <s v="Michael Teixeira (10388)"/>
    <s v="400 Professional Services"/>
    <s v="14417"/>
    <s v="Pranjal Nagarale"/>
    <m/>
    <d v="2026-01-05T00:00:00"/>
    <s v="College Career Site"/>
    <s v="Hardeep Gulati (14415)"/>
    <s v="Chris McCloskey (13804)"/>
    <s v="David Nuernberg (12843)"/>
    <s v="Aditi Roy (10563)_x000a__x000a_Chris McCloskey (13804)_x000a__x000a_David Nuernberg (12843)_x000a__x000a_Deepak Sivaraman (10538)_x000a__x000a_Hardeep Gulati (14415)_x000a__x000a_Naveen Upadhyay (14329)_x000a__x000a_Virendra Vishram Ahir (10008)"/>
    <s v="New Position &gt; Budgeted"/>
    <s v="TAP Program"/>
  </r>
  <r>
    <s v="REQID54787"/>
    <s v="Software Configuration Associate"/>
    <s v="Filled"/>
    <m/>
    <s v="118"/>
    <s v="Mumbai Office"/>
    <x v="2"/>
    <s v="Diksha Pradhan (12759)"/>
    <s v="Shraddha Balkrishna Misal (10307)"/>
    <s v="7815 - Analyst I (IC) - Software Configuration"/>
    <d v="2025-07-30T00:00:00"/>
    <d v="2025-07-30T00:00:00"/>
    <d v="2026-01-05T00:00:00"/>
    <n v="725000"/>
    <s v="INR"/>
    <n v="1"/>
    <s v="Ready for Hire"/>
    <s v="400 Professional Services"/>
    <s v="Michael Teixeira (10388)"/>
    <s v="400 Professional Services"/>
    <s v="14446"/>
    <s v="Rudrang Darade"/>
    <m/>
    <d v="2026-01-05T00:00:00"/>
    <s v="Other"/>
    <s v="Hardeep Gulati (14415)"/>
    <s v="Chris McCloskey (13804)"/>
    <s v="David Nuernberg (12843)"/>
    <s v="Aditi Roy (10563)_x000a__x000a_Chris McCloskey (13804)_x000a__x000a_David Nuernberg (12843)_x000a__x000a_Deepak Sivaraman (10538)_x000a__x000a_Hardeep Gulati (14415)_x000a__x000a_Naveen Upadhyay (14329)_x000a__x000a_Virendra Vishram Ahir (10008)"/>
    <s v="New Position &gt; Budgeted"/>
    <s v="TAP Program"/>
  </r>
  <r>
    <s v="REQID54789"/>
    <s v="Software Configuration Associate"/>
    <s v="Filled"/>
    <m/>
    <s v="79"/>
    <s v="Mumbai Office"/>
    <x v="2"/>
    <s v="Dushyant Devlekar (11945)"/>
    <s v="Amita Panda (14057)"/>
    <s v="7815 - Analyst I (IC) - Software Configuration"/>
    <d v="2025-07-30T00:00:00"/>
    <d v="2025-07-30T00:00:00"/>
    <d v="2026-01-05T00:00:00"/>
    <n v="725000"/>
    <s v="INR"/>
    <n v="1"/>
    <s v="Ready for Hire"/>
    <s v="400 Professional Services"/>
    <s v="Michael Teixeira (10388)"/>
    <s v="400 Professional Services"/>
    <s v="14418"/>
    <s v="Shubham Pote"/>
    <m/>
    <d v="2026-01-05T00:00:00"/>
    <s v="Career Fairs"/>
    <s v="Hardeep Gulati (14415)"/>
    <s v="Chris McCloskey (13804)"/>
    <s v="David Nuernberg (12843)"/>
    <s v="Chris McCloskey (13804)_x000a__x000a_David Nuernberg (12843)_x000a__x000a_Deepak Sivaraman (10538)_x000a__x000a_Hardeep Gulati (14415)_x000a__x000a_Naveen Upadhyay (14329)_x000a__x000a_Santosh Garje (11784)"/>
    <s v="New Position &gt; Budgeted"/>
    <s v="TAP Program"/>
  </r>
  <r>
    <s v="REQID54790"/>
    <s v="Software Configuration Associate"/>
    <s v="Filled"/>
    <m/>
    <s v="79"/>
    <s v="Mumbai Office"/>
    <x v="2"/>
    <s v="Diksha Pradhan (12759)"/>
    <s v="Vikas Lalotra (11576)"/>
    <s v="7815 - Analyst I (IC) - Software Configuration"/>
    <d v="2025-07-30T00:00:00"/>
    <d v="2025-07-30T00:00:00"/>
    <d v="2026-01-05T00:00:00"/>
    <n v="725000"/>
    <s v="INR"/>
    <n v="1"/>
    <s v="Ready for Hire"/>
    <s v="400 Professional Services"/>
    <s v="Michael Teixeira (10388)"/>
    <s v="400 Professional Services"/>
    <s v="14416"/>
    <s v="Saket Kharche"/>
    <m/>
    <d v="2026-01-05T00:00:00"/>
    <s v="College Career Site"/>
    <s v="Hardeep Gulati (14415)"/>
    <s v="Chris McCloskey (13804)"/>
    <s v="David Nuernberg (12843)"/>
    <s v="Chris McCloskey (13804)_x000a__x000a_David Nuernberg (12843)_x000a__x000a_Deepak Sivaraman (10538)_x000a__x000a_Hardeep Gulati (14415)_x000a__x000a_Naveen Upadhyay (14329)_x000a__x000a_Raghuraj Singh (11614)"/>
    <s v="New Position &gt; Budgeted"/>
    <s v="TAP Program"/>
  </r>
  <r>
    <s v="REQID54794"/>
    <s v="Senior Accountant"/>
    <s v="Filled"/>
    <m/>
    <s v="38"/>
    <s v="Remote Poland"/>
    <x v="4"/>
    <s v="Holly Solomon (13236)"/>
    <s v="Joanna Stryczewska (14326)"/>
    <s v="7068 - Senior Analyst (IC) - Accounting"/>
    <d v="2025-08-01T00:00:00"/>
    <d v="2025-08-01T00:00:00"/>
    <d v="2025-10-27T00:00:00"/>
    <n v="168000"/>
    <s v="PLN"/>
    <n v="1"/>
    <s v="Ready for Hire"/>
    <s v="110 Finance"/>
    <s v="Kim Estes (14025)"/>
    <s v="110 Finance"/>
    <s v="14406"/>
    <s v="Aleksandra Stankowska"/>
    <m/>
    <d v="2025-10-01T00:00:00"/>
    <s v="Employee Referral"/>
    <s v="Hardeep Gulati (14415)"/>
    <s v="Teresa Kim (13865)"/>
    <s v="Kim Estes (14025)"/>
    <s v="Brent Pearson (14093)_x000a__x000a_Hardeep Gulati (14415)_x000a__x000a_Kim Estes (14025)_x000a__x000a_Teresa Kim (13865)"/>
    <s v="Existing Position &gt; Backfill"/>
    <s v="Aleksandra backfill- tentative last day is 8/15 but trying to have them stay through 9/5"/>
  </r>
  <r>
    <s v="REQID54795"/>
    <s v="PL/SQL Developer"/>
    <s v="Filled"/>
    <m/>
    <s v="60"/>
    <s v="Remote India"/>
    <x v="2"/>
    <s v="Reenu Sura (12333)"/>
    <s v="Suresh Viswanathan (11883)"/>
    <s v="7307 - Senior Analyst - Software Engineering"/>
    <d v="2025-08-01T00:00:00"/>
    <d v="2025-07-31T00:00:00"/>
    <d v="2025-12-01T00:00:00"/>
    <n v="2454200"/>
    <s v="INR"/>
    <n v="1"/>
    <s v="Ready for Hire"/>
    <s v="551 Engineering Grow"/>
    <s v="Jennifer Armstrong (10414)"/>
    <s v="551 Engineering Grow"/>
    <s v="14413"/>
    <s v="Sunitha Busam"/>
    <m/>
    <d v="2025-10-07T00:00:00"/>
    <s v="LinkedIn"/>
    <s v="Hardeep Gulati (14415)"/>
    <s v="Jeff Dutton (13506)"/>
    <s v="Jennifer Armstrong (10414)"/>
    <s v="Bechir Ghedhoui (13253)_x000a__x000a_Hardeep Gulati (14415)_x000a__x000a_Jeff Dutton (13506)_x000a__x000a_Jennifer Armstrong (10414)"/>
    <s v="Existing Position &gt; Backfill"/>
    <s v="Funding from Ahmed Balti leaving and 13K savings from backfilling Xavier with Abdelhamid Elmansour so total funding of 135K USD-This req total cost is 38K so remainder of 97K USD._x000a__x000a_Need Oracle PL/SQL Developer for DCR L2 Support Bug fixing Activities in India Location"/>
  </r>
  <r>
    <s v="REQID54769"/>
    <s v="Software Configuration Specialist III"/>
    <s v="Filled"/>
    <m/>
    <s v="43"/>
    <s v="Remote India"/>
    <x v="2"/>
    <s v="Dushyant Devlekar (11945)"/>
    <s v="Sujit Komal Gupta (10056)"/>
    <s v="7435 - Associate Manager - Software Configuration"/>
    <d v="2025-08-12T00:00:00"/>
    <d v="2025-08-12T00:00:00"/>
    <d v="2025-10-22T00:00:00"/>
    <n v="4083000"/>
    <s v="INR"/>
    <n v="1"/>
    <s v="Ready for Hire"/>
    <s v="400 Professional Services"/>
    <s v="Michael Teixeira (10388)"/>
    <s v="400 Professional Services"/>
    <s v="14412"/>
    <s v="Samiksha Gupta"/>
    <m/>
    <d v="2025-10-22T00:00:00"/>
    <s v="Employee Referral"/>
    <s v="Hardeep Gulati (14415)"/>
    <s v="Chris McCloskey (13804)"/>
    <s v="David Nuernberg (12843)"/>
    <s v="Aditi Roy (10563)_x000a__x000a_Chris McCloskey (13804)_x000a__x000a_David Nuernberg (12843)_x000a__x000a_Deepak Sivaraman (10538)_x000a__x000a_Hardeep Gulati (14415)_x000a__x000a_Naveen Upadhyay (14329)"/>
    <s v="Existing Position &gt; Backfill"/>
    <s v="Replacement for Ankita Ashok Gang"/>
  </r>
  <r>
    <s v="REQID54765"/>
    <s v="Software Configuration Specialist II"/>
    <s v="Filled"/>
    <m/>
    <s v="43"/>
    <s v="Remote India"/>
    <x v="2"/>
    <s v="Dushyant Devlekar (11945)"/>
    <s v="Sujit Komal Gupta (10056)"/>
    <s v="7436 - Senior Analyst - Software Configuration"/>
    <d v="2025-08-12T00:00:00"/>
    <d v="2025-08-12T00:00:00"/>
    <d v="2025-12-19T00:00:00"/>
    <n v="2639900"/>
    <s v="INR"/>
    <n v="1"/>
    <s v="Ready for Hire"/>
    <s v="400 Professional Services"/>
    <s v="Michael Teixeira (10388)"/>
    <s v="400 Professional Services"/>
    <s v="14411"/>
    <s v="Amarpreet Kaur"/>
    <m/>
    <d v="2025-12-19T00:00:00"/>
    <s v="Career Fairs"/>
    <s v="Hardeep Gulati (14415)"/>
    <s v="Chris McCloskey (13804)"/>
    <s v="David Nuernberg (12843)"/>
    <s v="Aditi Roy (10563)_x000a__x000a_Chris McCloskey (13804)_x000a__x000a_David Nuernberg (12843)_x000a__x000a_Deepak Sivaraman (10538)_x000a__x000a_Hardeep Gulati (14415)_x000a__x000a_Naveen Upadhyay (14329)"/>
    <s v="Existing Position &gt; Backfill"/>
    <s v="Replacement for Shubham Acharya"/>
  </r>
  <r>
    <s v="REQID54798"/>
    <s v="Senior Infrastructure Support Analyst"/>
    <s v="Filled"/>
    <m/>
    <s v="78"/>
    <s v="Remote India"/>
    <x v="2"/>
    <s v="Jaya Joshi (13426)"/>
    <s v="Habtamu Yohannes (11050)"/>
    <s v="7054 - Senior Analyst (IC) - Network Administration"/>
    <d v="2025-08-14T00:00:00"/>
    <d v="2025-08-18T00:00:00"/>
    <d v="2025-12-18T00:00:00"/>
    <n v="1767100"/>
    <s v="INR"/>
    <n v="1"/>
    <s v="Ready for Hire"/>
    <s v="150 Information Technology"/>
    <s v="Mohan Gajula (13541)"/>
    <s v="150 Information Technology"/>
    <s v="14435"/>
    <s v="Pooja Aldar"/>
    <m/>
    <d v="2025-11-17T00:00:00"/>
    <s v="Employee Referral"/>
    <s v="Hardeep Gulati (14415)"/>
    <s v="Benjamin Dulieu (13088)"/>
    <s v="Mohan Gajula (13541)"/>
    <s v="Benjamin Dulieu (13088)_x000a__x000a_Hardeep Gulati (14415)_x000a__x000a_Mohan Gajula (13541)"/>
    <s v="Existing Position &gt; Backfill"/>
    <s v="William Bamert's backfill"/>
  </r>
  <r>
    <s v="REQID54802"/>
    <s v="Senior Manager HR Business Partner"/>
    <s v="Filled"/>
    <m/>
    <s v="65"/>
    <s v="Remote US"/>
    <x v="0"/>
    <s v="Hari Thammineedi (12246)"/>
    <s v="Brittney Price (13617)"/>
    <s v="7099 - Senior Manager (MGMT) - HR Business Partner"/>
    <d v="2025-08-19T00:00:00"/>
    <d v="2025-08-13T00:00:00"/>
    <d v="2025-10-01T00:00:00"/>
    <n v="160000"/>
    <s v="USD"/>
    <n v="1"/>
    <s v="Ready for Hire"/>
    <s v="130 Human Resources"/>
    <s v="John Kelly (11112)"/>
    <s v="130 Human Resources"/>
    <s v="14421"/>
    <s v="Carissa Husbands"/>
    <m/>
    <d v="2025-10-27T00:00:00"/>
    <s v="Employee Referral"/>
    <s v="Hardeep Gulati (14415)"/>
    <m/>
    <m/>
    <s v="Hardeep Gulati (14415)"/>
    <s v="Existing Position &gt; Backfill"/>
    <s v="Backfill for Nicole Perkins - Replacing with HRBP role only."/>
  </r>
  <r>
    <s v="REQID54800"/>
    <s v="Senior Manager, GTM Sales Operations"/>
    <s v="Filled"/>
    <m/>
    <s v="90"/>
    <s v="Remote NJ"/>
    <x v="0"/>
    <s v="Hari Thammineedi (12246)"/>
    <s v="Samuel Warnken-Brill (14260)"/>
    <s v="7568 - Senior Manager - GTM Operations"/>
    <d v="2025-08-19T00:00:00"/>
    <d v="2025-08-12T00:00:00"/>
    <d v="2025-10-06T00:00:00"/>
    <n v="145000"/>
    <s v="USD"/>
    <n v="2"/>
    <s v="Ready for Hire"/>
    <s v="240 Sales Operations"/>
    <s v="Chris McCloskey (13804)"/>
    <s v="240 Sales Operations"/>
    <s v="14436"/>
    <s v="Spoorthi Shivamurthy"/>
    <m/>
    <d v="2025-11-17T00:00:00"/>
    <s v="LinkedIn"/>
    <s v="Hardeep Gulati (14415)"/>
    <s v="Chris McCloskey (13804)"/>
    <m/>
    <s v="Chris McCloskey (13804)_x000a__x000a_Hardeep Gulati (14415)"/>
    <s v="New Position &gt; Budgeted"/>
    <s v="I am using backfill from Samantha Hughes headcount to fund this position in the US and also partially fund a Sales Operations Analyst in India."/>
  </r>
  <r>
    <s v="REQID54804"/>
    <s v="National Specialty Software Sales Director"/>
    <s v="Filled"/>
    <m/>
    <s v="83"/>
    <s v="Remote Canada"/>
    <x v="5"/>
    <s v="Hari Thammineedi (12246)"/>
    <s v="Ryan Nagy (14150)"/>
    <s v="7563 - Senior Manager - Field Sales"/>
    <d v="2025-08-20T00:00:00"/>
    <d v="2025-08-14T00:00:00"/>
    <d v="2025-09-01T00:00:00"/>
    <n v="140000"/>
    <s v="CAD"/>
    <n v="1"/>
    <s v="Ready for Hire"/>
    <s v="200 Sales"/>
    <s v="William Magowan (10415)"/>
    <s v="200 Sales"/>
    <s v="14186"/>
    <s v="Laszlo Asztalos"/>
    <m/>
    <d v="2025-11-01T00:00:00"/>
    <m/>
    <s v="Hardeep Gulati (14415)"/>
    <s v="William Magowan (10415)"/>
    <m/>
    <s v="Hardeep Gulati (14415)_x000a__x000a_William Magowan (10415)"/>
    <s v="Existing Position &gt; Backfill"/>
    <s v="Replacement for Michael Pidgeon"/>
  </r>
  <r>
    <s v="REQID54803"/>
    <s v="Learning and Development, Senior Analyst"/>
    <s v="Filled"/>
    <m/>
    <s v="74"/>
    <s v="Remote Mumbai"/>
    <x v="2"/>
    <s v="Diksha Pradhan (12759)"/>
    <s v="Darin Bond (12434)"/>
    <s v="7831 - Sr Analyst (IC) - Learning &amp; Development"/>
    <d v="2025-08-21T00:00:00"/>
    <d v="2025-08-22T00:00:00"/>
    <d v="2025-12-26T00:00:00"/>
    <n v="3721300"/>
    <s v="INR"/>
    <n v="1"/>
    <s v="Ready for Hire"/>
    <s v="130 Human Resources"/>
    <s v="John Kelly (11112)"/>
    <s v="130 Human Resources"/>
    <s v="14434"/>
    <s v="Shaheen Shaikh"/>
    <m/>
    <d v="2025-12-26T00:00:00"/>
    <s v="LinkedIn"/>
    <s v="Hardeep Gulati (14415)"/>
    <s v="Brittney Price (13617)"/>
    <m/>
    <s v="Brittney Price (13617)_x000a__x000a_Hardeep Gulati (14415)"/>
    <s v="Existing Position &gt; Backfill"/>
    <s v="Backfill from Molly Berg (US) which will fund this role in India and at least one other role for L&amp;D in Poland."/>
  </r>
  <r>
    <s v="REQID54809"/>
    <s v="Junior Associate Software Engineer"/>
    <s v="Filled"/>
    <m/>
    <s v="61"/>
    <s v="Remote Mumbai"/>
    <x v="2"/>
    <s v="Reenu Sura (12333)"/>
    <s v="Hemant Acharya (14078)"/>
    <s v="7755 - Analyst I - Software Engineering"/>
    <d v="2025-09-02T00:00:00"/>
    <d v="2025-08-28T00:00:00"/>
    <d v="2026-01-05T00:00:00"/>
    <n v="725000"/>
    <s v="INR"/>
    <n v="1"/>
    <s v="Ready for Hire"/>
    <s v="551 Engineering Grow"/>
    <s v="Jennifer Armstrong (10414)"/>
    <s v="551 Engineering Grow"/>
    <s v="14429"/>
    <s v="Raj Ghonge"/>
    <m/>
    <d v="2026-01-05T00:00:00"/>
    <s v="College Career Site"/>
    <s v="Hardeep Gulati (14415)"/>
    <s v="Jeff Dutton (13506)"/>
    <s v="Jennifer Armstrong (10414)"/>
    <s v="Hardeep Gulati (14415)_x000a__x000a_Jeff Dutton (13506)_x000a__x000a_Jennifer Armstrong (10414)"/>
    <s v="New Position &gt; Budgeted"/>
    <s v="TAP program for India for FY26. This is being built into the target run rate for FY26 in the AOP template."/>
  </r>
  <r>
    <s v="REQID54808"/>
    <s v="Senior Instructional Designer"/>
    <s v="Filled"/>
    <m/>
    <s v="56"/>
    <s v="Remote Poland"/>
    <x v="4"/>
    <s v="Hari Thammineedi (12246)"/>
    <s v="Darin Bond (12434)"/>
    <s v="7831 - Sr Analyst (IC) - Learning &amp; Development"/>
    <d v="2025-09-03T00:00:00"/>
    <d v="2025-08-22T00:00:00"/>
    <d v="2025-11-24T00:00:00"/>
    <n v="189000"/>
    <s v="PLN"/>
    <n v="1"/>
    <s v="Ready for Hire"/>
    <s v="130 Human Resources"/>
    <s v="John Kelly (11112)"/>
    <s v="130 Human Resources"/>
    <s v="14422"/>
    <s v="Marta Rucinska"/>
    <m/>
    <d v="2025-12-01T00:00:00"/>
    <s v="LinkedIn"/>
    <s v="Hardeep Gulati (14415)"/>
    <s v="Brittney Price (13617)"/>
    <m/>
    <s v="Brittney Price (13617)_x000a__x000a_Hardeep Gulati (14415)"/>
    <s v="Existing Position &gt; Backfill"/>
    <s v="Backfill from Molly Berg term"/>
  </r>
  <r>
    <s v="REQID54814"/>
    <s v="Junior Associate Software Engineer"/>
    <s v="Filled"/>
    <m/>
    <s v="49"/>
    <s v="Remote Mumbai"/>
    <x v="2"/>
    <s v="Reenu Sura (12333)"/>
    <s v="Hemant Acharya (14078)"/>
    <s v="7755 - Analyst I - Software Engineering"/>
    <d v="2025-09-11T00:00:00"/>
    <d v="2025-09-09T00:00:00"/>
    <d v="2026-01-05T00:00:00"/>
    <n v="725000"/>
    <s v="INR"/>
    <n v="1"/>
    <s v="Ready for Hire"/>
    <s v="551 Engineering Grow"/>
    <s v="Jennifer Armstrong (10414)"/>
    <s v="551 Engineering Grow"/>
    <s v="14432"/>
    <s v="Sakshi Shirkande"/>
    <m/>
    <d v="2026-01-05T00:00:00"/>
    <s v="C-DAC"/>
    <s v="Hardeep Gulati (14415)"/>
    <s v="Jeff Dutton (13506)"/>
    <s v="Jennifer Armstrong (10414)"/>
    <s v="Hardeep Gulati (14415)_x000a__x000a_Jeff Dutton (13506)_x000a__x000a_Jennifer Armstrong (10414)"/>
    <s v="New Position &gt; Budgeted"/>
    <s v="TAP program for India for FY26. This is being built into the target run rate for FY26 in the AOP template."/>
  </r>
  <r>
    <s v="REQID54817"/>
    <s v="Junior Associate Software Engineer"/>
    <s v="Filled"/>
    <m/>
    <s v="85"/>
    <s v="Remote Mumbai"/>
    <x v="2"/>
    <s v="Reenu Sura (12333)"/>
    <s v="Hemant Acharya (14078)"/>
    <s v="7755 - Analyst I - Software Engineering"/>
    <d v="2025-09-11T00:00:00"/>
    <d v="2025-09-09T00:00:00"/>
    <d v="2026-01-05T00:00:00"/>
    <n v="725000"/>
    <s v="INR"/>
    <n v="1"/>
    <s v="Ready for Hire"/>
    <s v="551 Engineering Grow"/>
    <s v="Jennifer Armstrong (10414)"/>
    <s v="551 Engineering Grow"/>
    <s v="14447"/>
    <s v="Rohit Manker"/>
    <m/>
    <d v="2026-01-05T00:00:00"/>
    <s v="C-DAC"/>
    <s v="Hardeep Gulati (14415)"/>
    <s v="Jeff Dutton (13506)"/>
    <s v="Jennifer Armstrong (10414)"/>
    <s v="Hardeep Gulati (14415)_x000a__x000a_Jeff Dutton (13506)_x000a__x000a_Jennifer Armstrong (10414)"/>
    <s v="New Position &gt; Budgeted"/>
    <s v="TAP program for India for FY26. This is being built into the target run rate for FY26 in the AOP template."/>
  </r>
  <r>
    <s v="REQID54813"/>
    <s v="Junior Associate Software Engineer"/>
    <s v="Filled"/>
    <m/>
    <s v="49"/>
    <s v="Remote Mumbai"/>
    <x v="2"/>
    <s v="Reenu Sura (12333)"/>
    <s v="Hemant Acharya (14078)"/>
    <s v="7755 - Analyst I - Software Engineering"/>
    <d v="2025-09-11T00:00:00"/>
    <d v="2025-09-09T00:00:00"/>
    <d v="2026-01-05T00:00:00"/>
    <n v="725000"/>
    <s v="INR"/>
    <n v="1"/>
    <s v="Ready for Hire"/>
    <s v="551 Engineering Grow"/>
    <s v="Jennifer Armstrong (10414)"/>
    <s v="551 Engineering Grow"/>
    <s v="14428"/>
    <s v="Harshal Barhe"/>
    <m/>
    <d v="2026-01-05T00:00:00"/>
    <s v="C-DAC"/>
    <s v="Hardeep Gulati (14415)"/>
    <s v="Jeff Dutton (13506)"/>
    <s v="Jennifer Armstrong (10414)"/>
    <s v="Hardeep Gulati (14415)_x000a__x000a_Jeff Dutton (13506)_x000a__x000a_Jennifer Armstrong (10414)"/>
    <s v="New Position &gt; Budgeted"/>
    <s v="TAP program for India for FY26. This is being built into the target run rate for FY26 in the AOP template."/>
  </r>
  <r>
    <s v="REQID54815"/>
    <s v="Junior Associate Software Engineer"/>
    <s v="Filled"/>
    <m/>
    <s v="49"/>
    <s v="Remote Mumbai"/>
    <x v="2"/>
    <s v="Reenu Sura (12333)"/>
    <s v="Hemant Acharya (14078)"/>
    <s v="7755 - Analyst I - Software Engineering"/>
    <d v="2025-09-11T00:00:00"/>
    <d v="2025-09-09T00:00:00"/>
    <d v="2026-01-05T00:00:00"/>
    <n v="725000"/>
    <s v="INR"/>
    <n v="1"/>
    <s v="Ready for Hire"/>
    <s v="551 Engineering Grow"/>
    <s v="Jennifer Armstrong (10414)"/>
    <s v="551 Engineering Grow"/>
    <s v="14430"/>
    <s v="Sarvesh Shyamal Sinha"/>
    <m/>
    <d v="2026-01-05T00:00:00"/>
    <s v="C-DAC"/>
    <s v="Hardeep Gulati (14415)"/>
    <s v="Jeff Dutton (13506)"/>
    <s v="Jennifer Armstrong (10414)"/>
    <s v="Hardeep Gulati (14415)_x000a__x000a_Jeff Dutton (13506)_x000a__x000a_Jennifer Armstrong (10414)"/>
    <s v="New Position &gt; Budgeted"/>
    <s v="TAP program for India for FY26. This is being built into the target run rate for FY26 in the AOP template."/>
  </r>
  <r>
    <s v="REQID54816"/>
    <s v="Junior Associate Software Engineer"/>
    <s v="Filled"/>
    <m/>
    <s v="49"/>
    <s v="Remote Mumbai"/>
    <x v="2"/>
    <s v="Reenu Sura (12333)"/>
    <s v="Hemant Acharya (14078)"/>
    <s v="7755 - Analyst I - Software Engineering"/>
    <d v="2025-09-11T00:00:00"/>
    <d v="2025-09-09T00:00:00"/>
    <d v="2026-01-05T00:00:00"/>
    <n v="725000"/>
    <s v="INR"/>
    <n v="1"/>
    <s v="Ready for Hire"/>
    <s v="551 Engineering Grow"/>
    <s v="Jennifer Armstrong (10414)"/>
    <s v="551 Engineering Grow"/>
    <s v="14427"/>
    <s v="Shantanu Deshpande"/>
    <m/>
    <d v="2026-01-05T00:00:00"/>
    <s v="Other"/>
    <s v="Hardeep Gulati (14415)"/>
    <s v="Jeff Dutton (13506)"/>
    <s v="Jennifer Armstrong (10414)"/>
    <s v="Hardeep Gulati (14415)_x000a__x000a_Jeff Dutton (13506)_x000a__x000a_Jennifer Armstrong (10414)"/>
    <s v="New Position &gt; Budgeted"/>
    <s v="TAP program for India for FY26. This is being built into the target run rate for FY26 in the AOP template."/>
  </r>
  <r>
    <s v="REQID54818"/>
    <s v="Software Configuration Associate"/>
    <s v="Filled"/>
    <m/>
    <s v="34"/>
    <s v="Mumbai Office"/>
    <x v="2"/>
    <s v="Diksha Pradhan (12759)"/>
    <s v="Pramod Pillai (12276)"/>
    <s v="8004 - Analyst I (IC) - CS Upgrades"/>
    <d v="2025-09-18T00:00:00"/>
    <d v="2025-09-18T00:00:00"/>
    <d v="2026-01-05T00:00:00"/>
    <n v="725000"/>
    <s v="INR"/>
    <n v="1"/>
    <s v="Ready for Hire"/>
    <s v="481 CS Engineering"/>
    <s v="Stephanie White (10435)"/>
    <s v="481 CS Engineering"/>
    <s v="14424"/>
    <s v="Bhagyesh Katkar"/>
    <m/>
    <d v="2026-01-05T00:00:00"/>
    <s v="Other"/>
    <s v="Hardeep Gulati (14415)"/>
    <s v="Chris McCloskey (13804)"/>
    <s v="Stephanie White (10435)"/>
    <s v="Chris McCloskey (13804)_x000a__x000a_Hardeep Gulati (14415)_x000a__x000a_Preston McCamy (10390)_x000a__x000a_Stephanie White (10435)"/>
    <s v="New Position &gt; Budgeted"/>
    <s v="Participated in the Talent Accelerator Program in India, to build strong candidates for future roles at Duck Creek"/>
  </r>
  <r>
    <s v="REQID54819"/>
    <s v="Software Configuration Associate"/>
    <s v="Filled"/>
    <m/>
    <s v="62"/>
    <s v="Mumbai Office"/>
    <x v="2"/>
    <s v="Diksha Pradhan (12759)"/>
    <s v="Pallavi Vivek Waman (10428)"/>
    <s v="8004 - Analyst I (IC) - CS Upgrades"/>
    <d v="2025-09-18T00:00:00"/>
    <d v="2025-09-18T00:00:00"/>
    <d v="2026-01-05T00:00:00"/>
    <n v="725000"/>
    <s v="INR"/>
    <n v="1"/>
    <s v="Ready for Hire"/>
    <s v="481 CS Engineering"/>
    <s v="Stephanie White (10435)"/>
    <s v="481 CS Engineering"/>
    <s v="14443"/>
    <s v="Lavina Parulekar"/>
    <m/>
    <d v="2026-01-05T00:00:00"/>
    <s v="Other"/>
    <s v="Hardeep Gulati (14415)"/>
    <s v="Chris McCloskey (13804)"/>
    <s v="Stephanie White (10435)"/>
    <s v="Chris McCloskey (13804)_x000a__x000a_Hardeep Gulati (14415)_x000a__x000a_Preston McCamy (10390)_x000a__x000a_Stephanie White (10435)"/>
    <s v="New Position &gt; Budgeted"/>
    <s v="Participated in the Talent Accelerator Program in India, to build strong candidates for future roles at Duck Creek"/>
  </r>
  <r>
    <s v="REQID54827"/>
    <s v="Director, Application Support Service Management"/>
    <s v="Filled"/>
    <m/>
    <s v="52"/>
    <s v="Remote SC"/>
    <x v="0"/>
    <s v="Holly Solomon (13236)"/>
    <s v="Tiaa Allen (13895)"/>
    <s v="7914 - Director (MGMT) - Application Support Support Service Management"/>
    <d v="2025-09-19T00:00:00"/>
    <d v="2025-09-20T00:00:00"/>
    <d v="2025-11-17T00:00:00"/>
    <n v="180000"/>
    <s v="USD"/>
    <n v="1"/>
    <s v="Ready for Hire"/>
    <s v="500 Product Management"/>
    <m/>
    <s v="500 Product Management"/>
    <s v="14437"/>
    <s v="Everett Stevenson"/>
    <m/>
    <d v="2025-11-24T00:00:00"/>
    <s v="LinkedIn"/>
    <s v="Hardeep Gulati (14415)"/>
    <s v="Jeff Dutton (13506)"/>
    <s v="Will Milewski (14407)"/>
    <s v="Hardeep Gulati (14415)_x000a__x000a_Jeff Dutton (13506)_x000a__x000a_Will Milewski (14407)"/>
    <s v="Existing Position &gt; Backfill"/>
    <s v="Backfill for Elmer who resigned. Kira - can we move this to 482 without having budget implication? Please work with Kabir on this."/>
  </r>
  <r>
    <s v="REQID54826"/>
    <s v="Senior Manager, Application Support Service Improvement"/>
    <s v="Filled"/>
    <m/>
    <s v="42"/>
    <s v="Remote SC"/>
    <x v="0"/>
    <s v="Holly Solomon (13236)"/>
    <s v="Tiaa Allen (13895)"/>
    <s v="8006 - Senior Manager (MGMT) - Application Support Improvement"/>
    <d v="2025-09-22T00:00:00"/>
    <d v="2025-09-22T00:00:00"/>
    <d v="2025-11-01T00:00:00"/>
    <n v="150000"/>
    <s v="USD"/>
    <n v="1"/>
    <s v="Ready for Hire"/>
    <s v="482 Application Support"/>
    <s v="Will Milewski (14407)"/>
    <s v="482 Application Support"/>
    <s v="12945"/>
    <s v="Lissette Vega-Brown"/>
    <m/>
    <d v="2025-11-16T00:00:00"/>
    <s v="Employee Referral"/>
    <s v="Hardeep Gulati (14415)"/>
    <s v="Jeff Dutton (13506)"/>
    <s v="Will Milewski (14407)"/>
    <s v="Hardeep Gulati (14415)_x000a__x000a_Jeff Dutton (13506)_x000a__x000a_Will Milewski (14407)"/>
    <s v="New Position &gt; Budgeted"/>
    <s v="using all of Sauer backfill budget and as much of Ensell budget as needed to fund this 150K"/>
  </r>
  <r>
    <s v="REQID54828"/>
    <s v="Application Incident Manager"/>
    <s v="Filled"/>
    <m/>
    <s v="56"/>
    <s v="Remote India"/>
    <x v="2"/>
    <s v="Diksha Pradhan (12759)"/>
    <s v="Everett Stevenson (14437)"/>
    <s v="7680 - Manager (IC) - Application Incident Manager"/>
    <d v="2025-09-22T00:00:00"/>
    <d v="2025-10-13T00:00:00"/>
    <d v="2026-01-19T00:00:00"/>
    <n v="5000000"/>
    <s v="INR"/>
    <n v="1"/>
    <s v="Ready for Hire"/>
    <s v="482 Application Support"/>
    <s v="Will Milewski (14407)"/>
    <s v="482 Application Support"/>
    <s v="14448"/>
    <s v="Nikhil Talwar"/>
    <m/>
    <d v="2025-12-22T00:00:00"/>
    <s v="LinkedIn"/>
    <s v="Hardeep Gulati (14415)"/>
    <s v="Jeff Dutton (13506)"/>
    <s v="Will Milewski (14407)"/>
    <s v="Hardeep Gulati (14415)_x000a__x000a_Jeff Dutton (13506)_x000a__x000a_Tiaa Allen (13895)_x000a__x000a_Will Milewski (14407)"/>
    <s v="Existing Position &gt; Backfill"/>
    <s v="backfill for Shailesh who resigned effective 12/1. Salary needs to be increasd due to market rate adjustments - pull remainder out of ensell budget"/>
  </r>
  <r>
    <s v="REQID54829"/>
    <s v="Senior Manager, GTM Sales Operations"/>
    <s v="Filled"/>
    <m/>
    <s v="83"/>
    <s v="Remote NJ"/>
    <x v="0"/>
    <s v="Hari Thammineedi (12246)"/>
    <s v="Samuel Warnken-Brill (14260)"/>
    <s v="7568 - Senior Manager - GTM Operations"/>
    <d v="2025-09-23T00:00:00"/>
    <d v="2025-09-16T00:00:00"/>
    <d v="2025-11-10T00:00:00"/>
    <n v="140000"/>
    <s v="USD"/>
    <n v="1"/>
    <s v="Ready for Hire"/>
    <s v="240 Sales Operations"/>
    <s v="Chris McCloskey (13804)"/>
    <s v="240 Sales Operations"/>
    <s v="14449"/>
    <s v="Meri Jovanovic"/>
    <m/>
    <d v="2025-12-15T00:00:00"/>
    <s v="LinkedIn"/>
    <s v="Hardeep Gulati (14415)"/>
    <s v="Chris McCloskey (13804)"/>
    <m/>
    <s v="Chris McCloskey (13804)_x000a__x000a_Hardeep Gulati (14415)"/>
    <s v="Existing Position &gt; Backfill"/>
    <s v="Position is backfill for Henry Mark Nippert and will be funded by his headcount"/>
  </r>
  <r>
    <s v="REQID54834"/>
    <s v="Software Configuration Specialist III"/>
    <s v="Filled"/>
    <m/>
    <s v="75"/>
    <s v="Remote India"/>
    <x v="2"/>
    <s v="Dushyant Devlekar (11945)"/>
    <s v="Santosh Garje (11784)"/>
    <s v="7435 - Associate Manager - Software Configuration"/>
    <d v="2025-09-25T00:00:00"/>
    <d v="2025-09-24T00:00:00"/>
    <d v="2025-12-19T00:00:00"/>
    <n v="3870000"/>
    <s v="INR"/>
    <n v="2"/>
    <s v="Ready for Hire"/>
    <s v="400 Professional Services"/>
    <s v="Michael Teixeira (10388)"/>
    <s v="400 Professional Services"/>
    <s v="14451"/>
    <s v="Sunil Choudhury"/>
    <m/>
    <d v="2025-12-19T00:00:00"/>
    <s v="LinkedIn"/>
    <s v="Hardeep Gulati (14415)"/>
    <s v="Chris McCloskey (13804)"/>
    <s v="David Nuernberg (12843)"/>
    <s v="Chris McCloskey (13804)_x000a__x000a_David Nuernberg (12843)_x000a__x000a_Deepak Sivaraman (10538)_x000a__x000a_Hardeep Gulati (14415)_x000a__x000a_Naveen Upadhyay (14329)"/>
    <s v="Existing Position &gt; Backfill"/>
    <s v="Replacement for Sarthak Gupta"/>
  </r>
  <r>
    <s v="REQID54832"/>
    <s v="Accountant"/>
    <s v="Filled"/>
    <m/>
    <s v="46"/>
    <s v="Remote Poland"/>
    <x v="4"/>
    <s v="Holly Solomon (13236)"/>
    <s v="Joanna Stryczewska (14326)"/>
    <s v="7824 - Analyst II (IC) - Accounting"/>
    <d v="2025-09-26T00:00:00"/>
    <d v="2025-09-26T00:00:00"/>
    <d v="2025-12-01T00:00:00"/>
    <n v="125000"/>
    <s v="PLN"/>
    <n v="1"/>
    <s v="Ready for Hire"/>
    <s v="110 Finance"/>
    <s v="Kim Estes (14025)"/>
    <s v="110 Finance"/>
    <s v="14438"/>
    <s v="Monika Buniowska"/>
    <m/>
    <d v="2026-01-01T00:00:00"/>
    <s v="LinkedIn"/>
    <s v="Hardeep Gulati (14415)"/>
    <s v="Teresa Kim (13865)"/>
    <s v="Kim Estes (14025)"/>
    <s v="Brent Pearson (14093)_x000a__x000a_Hardeep Gulati (14415)_x000a__x000a_Kim Estes (14025)_x000a__x000a_Teresa Kim (13865)"/>
    <s v="New Position &gt; Budgeted"/>
    <s v="Transfer of the role to Poland"/>
  </r>
  <r>
    <s v="REQID54836"/>
    <s v="Services Project Manager III"/>
    <s v="Filled"/>
    <m/>
    <s v="43"/>
    <s v="Remote Canada"/>
    <x v="5"/>
    <s v="Hari Thammineedi (12246)"/>
    <s v="Rajesh Kumar Agrawal (11646)"/>
    <s v="7388 - Associate Manager - Services Project Management"/>
    <d v="2025-09-29T00:00:00"/>
    <d v="2025-09-24T00:00:00"/>
    <d v="2025-10-13T00:00:00"/>
    <n v="131900"/>
    <s v="CAD"/>
    <n v="2"/>
    <s v="Ready for Hire"/>
    <s v="400 Professional Services"/>
    <s v="Michael Teixeira (10388)"/>
    <s v="400 Professional Services"/>
    <s v="14160"/>
    <s v="Jacob Pereira"/>
    <m/>
    <d v="2025-11-01T00:00:00"/>
    <m/>
    <s v="Hardeep Gulati (14415)"/>
    <s v="Chris McCloskey (13804)"/>
    <s v="David Nuernberg (12843)"/>
    <s v="Chris McCloskey (13804)_x000a__x000a_David Nuernberg (12843)_x000a__x000a_Hardeep Gulati (14415)"/>
    <s v="Existing Position &gt; Backfill"/>
    <s v="Replacement for Laszlo Asztalos (moving to sales team)"/>
  </r>
  <r>
    <s v="REQID54848"/>
    <s v="Principal Software Engineer"/>
    <s v="Filled"/>
    <m/>
    <s v="17"/>
    <s v="Remote GA"/>
    <x v="0"/>
    <s v="Holly Solomon (13236)"/>
    <s v="Roger Wyatt (13851)"/>
    <s v="7303 - Director – Software Engineering"/>
    <d v="2025-10-01T00:00:00"/>
    <d v="2025-10-06T00:00:00"/>
    <d v="2025-12-01T00:00:00"/>
    <n v="234000"/>
    <s v="USD"/>
    <n v="1"/>
    <s v="Ready for Hire"/>
    <s v="551 Engineering Grow"/>
    <s v="Jennifer Armstrong (10414)"/>
    <s v="551 Engineering Grow"/>
    <s v="14426"/>
    <s v="Alec Lombardo"/>
    <m/>
    <d v="2025-11-03T00:00:00"/>
    <m/>
    <s v="Hardeep Gulati (14415)"/>
    <s v="Jeff Dutton (13506)"/>
    <s v="Jennifer Armstrong (10414)"/>
    <s v="Greg James (13741)_x000a__x000a_Hardeep Gulati (14415)_x000a__x000a_Jeff Dutton (13506)_x000a__x000a_Jennifer Armstrong (10414)"/>
    <s v="New Position &gt; Budgeted"/>
    <s v="Kira - we are increasing salary for this req by 34K. To fund this we are reducing the salary for REQID54846 from 220K to 185K. We are hiring key contractor Alec Lombardo into this requisiiton._x000a__x000a_Conversion of Contractor to Employee_x000a_In AOP as REQID_US_02 (need to fix salary and level in AOP)"/>
  </r>
  <r>
    <s v="REQID54854"/>
    <s v="National Specialty Software Sales Director"/>
    <s v="Filled"/>
    <m/>
    <s v="5"/>
    <s v="Remote FL"/>
    <x v="0"/>
    <s v="Hari Thammineedi (12246)"/>
    <s v="Ryan Nagy (14150)"/>
    <s v="7563 - Senior Manager - Field Sales"/>
    <d v="2025-10-03T00:00:00"/>
    <d v="2025-10-01T00:00:00"/>
    <d v="2025-10-20T00:00:00"/>
    <n v="140000"/>
    <s v="USD"/>
    <n v="1"/>
    <s v="Ready for Hire"/>
    <s v="200 Sales"/>
    <s v="William Magowan (10415)"/>
    <s v="200 Sales"/>
    <s v="14414"/>
    <s v="RJ Farmwald"/>
    <m/>
    <d v="2025-10-20T00:00:00"/>
    <s v="Duck Creek Recruiter"/>
    <s v="Hardeep Gulati (14415)"/>
    <s v="William Magowan (10415)"/>
    <m/>
    <s v="Hardeep Gulati (14415)_x000a__x000a_William Magowan (10415)"/>
    <s v="Existing Position &gt; Backfill"/>
    <s v="Backfill"/>
  </r>
  <r>
    <s v="REQID54853"/>
    <s v="IT Infrastructure Services - Network Analyst"/>
    <s v="Filled"/>
    <m/>
    <s v="74"/>
    <s v="Remote India"/>
    <x v="2"/>
    <s v="Jaya Joshi (13426)"/>
    <s v="Habtamu Yohannes (11050)"/>
    <s v="1942 - Analyst II (IC) - Network Administration"/>
    <d v="2025-10-07T00:00:00"/>
    <d v="2025-10-07T00:00:00"/>
    <d v="2025-11-24T00:00:00"/>
    <n v="1507000"/>
    <s v="INR"/>
    <n v="1"/>
    <s v="Ready for Hire"/>
    <s v="150 Information Technology"/>
    <s v="Mohan Gajula (13541)"/>
    <s v="150 Information Technology"/>
    <s v="14459"/>
    <s v="Ramya Nayak"/>
    <m/>
    <d v="2026-01-05T00:00:00"/>
    <s v="LinkedIn"/>
    <s v="Hardeep Gulati (14415)"/>
    <s v="Benjamin Dulieu (13088)"/>
    <s v="Mohan Gajula (13541)"/>
    <s v="Benjamin Dulieu (13088)_x000a__x000a_Hardeep Gulati (14415)_x000a__x000a_Mohan Gajula (13541)"/>
    <s v="Existing Position &gt; Backfill"/>
    <s v="Backfill for Ameya Acharya"/>
  </r>
  <r>
    <s v="REQID54872"/>
    <s v="Senior Manager, Customer Success Manager"/>
    <s v="Filled"/>
    <m/>
    <s v="34"/>
    <s v="Remote MO"/>
    <x v="0"/>
    <s v="Hari Thammineedi (12246)"/>
    <s v="Jill Areheart (10536)"/>
    <s v="7786 - Senior Manager (MGMT) - Customer Success Management"/>
    <d v="2025-10-22T00:00:00"/>
    <d v="2025-10-14T00:00:00"/>
    <d v="2025-11-01T00:00:00"/>
    <n v="136650"/>
    <s v="USD"/>
    <n v="1"/>
    <s v="Ready for Hire"/>
    <s v="475 CS Management, OnDemand CSMs and Onboarding"/>
    <s v="Stephanie White (10435)"/>
    <s v="475 CS Management, OnDemand CSMs and Onboarding"/>
    <s v="14442"/>
    <s v="Cheri Fisher"/>
    <m/>
    <d v="2025-12-01T00:00:00"/>
    <s v="Duck Creek Career Site"/>
    <s v="Hardeep Gulati (14415)"/>
    <s v="Chris McCloskey (13804)"/>
    <s v="Stephanie White (10435)"/>
    <s v="Chris McCloskey (13804)_x000a__x000a_Dave Fielding (10975)_x000a__x000a_Hardeep Gulati (14415)_x000a__x000a_Stephanie White (10435)"/>
    <s v="Existing Position &gt; Backfill"/>
    <s v="backfill Lisette Vega-Brown"/>
  </r>
  <r>
    <s v="REQID54866"/>
    <s v="QA Tester III"/>
    <s v="Filled"/>
    <m/>
    <s v="43"/>
    <s v="Remote India"/>
    <x v="2"/>
    <s v="Dushyant Devlekar (11945)"/>
    <s v="Madhuri Liladhar Ambere (10045)"/>
    <s v="7376 - Associate Manager – Quality Assurance"/>
    <d v="2025-11-04T00:00:00"/>
    <d v="2025-11-05T00:00:00"/>
    <d v="2026-01-05T00:00:00"/>
    <n v="2600000"/>
    <s v="INR"/>
    <n v="1"/>
    <s v="Ready for Hire"/>
    <s v="400 Professional Services"/>
    <s v="Michael Teixeira (10388)"/>
    <s v="400 Professional Services"/>
    <s v="14458"/>
    <s v="Urvashi Rai"/>
    <m/>
    <d v="2026-01-05T00:00:00"/>
    <s v="LinkedIn"/>
    <s v="Hardeep Gulati (14415)"/>
    <s v="Chris McCloskey (13804)"/>
    <s v="David Nuernberg (12843)"/>
    <s v="Chris McCloskey (13804)_x000a__x000a_David Nuernberg (12843)_x000a__x000a_Divya Shelke (12200)_x000a__x000a_Hardeep Gulati (14415)_x000a__x000a_Naveen Upadhyay (14329)_x000a__x000a_Saurabh Thakur (10564)"/>
    <s v="Existing Position &gt; Backfill"/>
    <s v="Replacement for Monty Hitchner, repurposing to offshore"/>
  </r>
  <r>
    <s v="REQID54880"/>
    <s v="Quality Assurance Engineer-Claims"/>
    <s v="Filled"/>
    <m/>
    <s v="40"/>
    <s v="Remote India"/>
    <x v="2"/>
    <s v="Jaya Joshi (13426)"/>
    <s v="Swadha Zagade (12704)"/>
    <s v="7376 - Associate Manager – Quality Assurance"/>
    <d v="2025-11-04T00:00:00"/>
    <d v="2025-11-05T00:00:00"/>
    <d v="2025-12-30T00:00:00"/>
    <n v="2476100"/>
    <s v="INR"/>
    <n v="1"/>
    <s v="Ready for Hire"/>
    <s v="400 Professional Services"/>
    <s v="Michael Teixeira (10388)"/>
    <s v="400 Professional Services"/>
    <s v="14456"/>
    <s v="Monali Sarade"/>
    <m/>
    <d v="2025-12-30T00:00:00"/>
    <s v="Employee Referral"/>
    <s v="Hardeep Gulati (14415)"/>
    <s v="Chris McCloskey (13804)"/>
    <s v="David Nuernberg (12843)"/>
    <s v="Chris McCloskey (13804)_x000a__x000a_David Nuernberg (12843)_x000a__x000a_Divya Shelke (12200)_x000a__x000a_Hardeep Gulati (14415)_x000a__x000a_Naveen Upadhyay (14329)_x000a__x000a_Saurabh Thakur (10564)"/>
    <s v="Existing Position &gt; Backfill"/>
    <s v="Replacement for Jacob Pereira, who is filling REQID54836"/>
  </r>
  <r>
    <s v="REQID54894"/>
    <s v="IAM Operations Analyst II"/>
    <s v="Filled"/>
    <m/>
    <s v="34"/>
    <s v="Remote India"/>
    <x v="2"/>
    <s v="Dushyant Devlekar (11945)"/>
    <s v="Jason Naylor (10376)"/>
    <s v="8050 - Analyst II (IC) - Cybersecurity IAM Operations"/>
    <d v="2025-11-11T00:00:00"/>
    <d v="2025-11-11T00:00:00"/>
    <d v="2026-01-05T00:00:00"/>
    <n v="1400000"/>
    <s v="INR"/>
    <n v="1"/>
    <s v="Ready for Hire"/>
    <s v="151 Security Team"/>
    <s v="Mohan Gajula (13541)"/>
    <s v="151 Security Team"/>
    <s v="14455"/>
    <s v="Shivam Mishra"/>
    <m/>
    <d v="2026-01-05T00:00:00"/>
    <s v="LinkedIn"/>
    <s v="Hardeep Gulati (14415)"/>
    <s v="Benjamin Dulieu (13088)"/>
    <s v="Mohan Gajula (13541)"/>
    <s v="Benjamin Dulieu (13088)_x000a__x000a_Hardeep Gulati (14415)_x000a__x000a_Mohan Gajula (13541)"/>
    <s v="New Position &gt; Budgeted"/>
    <s v="Expanding the IAM Operations team to align with the business needs of the organization."/>
  </r>
  <r>
    <s v="REQID54896"/>
    <s v="UX Associate"/>
    <s v="Filled"/>
    <m/>
    <s v="5"/>
    <s v="Remote MA"/>
    <x v="0"/>
    <m/>
    <s v="Caleen Alexanderson (11037)"/>
    <s v="7369 - Analyst – User Experience"/>
    <d v="2025-11-13T00:00:00"/>
    <d v="2025-11-13T00:00:00"/>
    <d v="2025-12-01T00:00:00"/>
    <n v="88770"/>
    <s v="USD"/>
    <n v="1"/>
    <s v="Ready for Hire"/>
    <s v="500 Product Management"/>
    <m/>
    <s v="500 Product Management"/>
    <s v="14338"/>
    <s v="Oliver Bello"/>
    <m/>
    <d v="2025-12-01T00:00:00"/>
    <s v="LinkedIn"/>
    <s v="Hardeep Gulati (14415)"/>
    <s v="Hardeep Gulati (14415)"/>
    <s v="Ethan Perry (12163)"/>
    <s v="Ethan Perry (12163)_x000a__x000a_Hardeep Gulati (14415)"/>
    <s v="Existing Position &gt; Backfill"/>
    <s v="backfill - no financial implications. Already have candidate in mind - former intern Oliver Bello - hence Dec 1 start"/>
  </r>
  <r>
    <s v="REQID54906"/>
    <s v="Financial Planning &amp; Analysis Co-Op"/>
    <s v="Filled"/>
    <m/>
    <s v="28"/>
    <s v="100 Summer Street, Boston office"/>
    <x v="0"/>
    <s v="Holly Solomon (13236)"/>
    <s v="Francois Acerra (14094)"/>
    <s v="7805 - Co-Op (IC) - Financial Planning &amp; Analysis"/>
    <d v="2025-11-19T00:00:00"/>
    <d v="2025-11-17T00:00:00"/>
    <d v="2026-01-05T00:00:00"/>
    <n v="26"/>
    <s v="USD"/>
    <n v="1"/>
    <s v="Ready for Hire"/>
    <s v="115 Finance - FP&amp;A"/>
    <s v="Joe Walker (14051)"/>
    <s v="115 Finance - FP&amp;A"/>
    <s v="14454"/>
    <s v="David Liu"/>
    <m/>
    <d v="2026-01-05T00:00:00"/>
    <s v="College Career Site"/>
    <s v="Hardeep Gulati (14415)"/>
    <s v="Teresa Kim (13865)"/>
    <s v="Joe Walker (14051)"/>
    <s v="Hardeep Gulati (14415)_x000a__x000a_Joe Walker (14051)_x000a__x000a_Teresa Kim (13865)"/>
    <s v="New Position &gt; Budgeted"/>
    <s v="Northeastern Co-op student to support FP&amp;A team in day-to-day activities as well as special projects"/>
  </r>
  <r>
    <s v="REQID54911"/>
    <s v="Chief Product Officer"/>
    <s v="Filled"/>
    <m/>
    <s v="46"/>
    <s v="Remote CA"/>
    <x v="0"/>
    <s v="Holly Solomon (13236)"/>
    <s v="Hardeep Gulati (14415)"/>
    <s v="8060 - EVP (MGMT) - Chief Product Officer"/>
    <d v="2025-11-20T00:00:00"/>
    <d v="2025-11-20T00:00:00"/>
    <d v="2026-02-02T00:00:00"/>
    <n v="500100"/>
    <s v="USD"/>
    <n v="1"/>
    <s v="Ready for Hire"/>
    <s v="500 Product Management"/>
    <m/>
    <s v="500 Product Management"/>
    <s v="14463"/>
    <s v="Jose Lazares"/>
    <m/>
    <d v="2026-01-12T00:00:00"/>
    <s v="Employee Referral"/>
    <s v="Hardeep Gulati (14415)"/>
    <m/>
    <m/>
    <s v="Hardeep Gulati (14415)"/>
    <s v="Existing Position &gt; Backfill"/>
    <s v="Jess backfill"/>
  </r>
  <r>
    <s v="REQID54932"/>
    <s v="Engineering Intern"/>
    <s v="Filled"/>
    <m/>
    <s v="6"/>
    <s v="Remote OH"/>
    <x v="0"/>
    <s v="Holly Solomon (13236)"/>
    <s v="Vanita Deepak Patel (10922)"/>
    <s v="7309 - Intern - Software Engineering"/>
    <d v="2025-12-05T00:00:00"/>
    <d v="2025-12-05T00:00:00"/>
    <d v="2026-01-05T00:00:00"/>
    <n v="32"/>
    <s v="USD"/>
    <n v="1"/>
    <s v="Ready for Hire"/>
    <s v="551 Engineering Grow"/>
    <s v="Jennifer Armstrong (10414)"/>
    <s v="551 Engineering Grow"/>
    <s v="14452"/>
    <s v="Elizabeth Consolino"/>
    <m/>
    <d v="2026-01-05T00:00:00"/>
    <s v="Other"/>
    <s v="Hardeep Gulati (14415)"/>
    <s v="Jeff Dutton (13506)"/>
    <s v="Jennifer Armstrong (10414)"/>
    <s v="Hardeep Gulati (14415)_x000a__x000a_Jeff Dutton (13506)_x000a__x000a_Jennifer Armstrong (10414)_x000a__x000a_Sevket Yapar (13974)"/>
    <s v="New Position &gt; Unbudgeted"/>
    <s v="1 month internship for intern referral from customer. Take the 6K to fund from existing contractor budget._x000a_This is a one off winter internship we were asked to hire. We would like to be able to make an offer to them on Monday or Tuesday if possible so request immediate review/approval if possible"/>
  </r>
  <r>
    <s v="REQID54922"/>
    <s v="Director, Customer Success Management Compliance product"/>
    <s v="Filled"/>
    <m/>
    <s v="28"/>
    <s v="Remote Belgium"/>
    <x v="6"/>
    <s v="Hari Thammineedi (12246)"/>
    <s v="Jill Areheart (10536)"/>
    <s v="8025 - Director (MGMT) - CS Management"/>
    <d v="2025-12-08T00:00:00"/>
    <d v="2025-12-02T00:00:00"/>
    <d v="2026-01-01T00:00:00"/>
    <n v="133312.5"/>
    <s v="EUR"/>
    <n v="1"/>
    <s v="Ready for Hire"/>
    <s v="475 CS Management, OnDemand CSMs and Onboarding"/>
    <s v="Stephanie White (10435)"/>
    <s v="475 CS Management, OnDemand CSMs and Onboarding"/>
    <s v="14461"/>
    <s v="Jean-Louis Herman"/>
    <m/>
    <d v="2026-01-01T00:00:00"/>
    <s v="Acquisition"/>
    <s v="Hardeep Gulati (14415)"/>
    <s v="Chris McCloskey (13804)"/>
    <s v="Stephanie White (10435)"/>
    <s v="Chris McCloskey (13804)_x000a__x000a_Dave Fielding (10975)_x000a__x000a_Hardeep Gulati (14415)_x000a__x000a_Stephanie White (10435)"/>
    <s v="Existing Position &gt; Backfill"/>
    <s v="replacing Pierre Joseph Miguet with a contingent resource who has been working with R&amp;D"/>
  </r>
  <r>
    <s v="REQID54959"/>
    <s v="Senior Director of Corporate FP&amp;A"/>
    <s v="Filled"/>
    <m/>
    <s v="1"/>
    <s v="Remote IL"/>
    <x v="0"/>
    <s v="Holly Solomon (13236)"/>
    <s v="Joe Walker (14051)"/>
    <s v="7952 - Senior Director (MGMT) - Corporate Financial Planning &amp; Analysis (FPA)"/>
    <d v="2026-01-05T00:00:00"/>
    <d v="2026-01-05T00:00:00"/>
    <d v="2026-01-05T00:00:00"/>
    <n v="245000"/>
    <s v="USD"/>
    <n v="1"/>
    <s v="Ready for Hire"/>
    <s v="110 Finance"/>
    <s v="Kim Estes (14025)"/>
    <s v="115 Finance - FP&amp;A"/>
    <s v="14464"/>
    <s v="Mike Dailey"/>
    <m/>
    <d v="2026-01-12T00:00:00"/>
    <s v="Agency"/>
    <s v="Hardeep Gulati (14415)"/>
    <s v="Teresa Kim (13865)"/>
    <m/>
    <s v="Hardeep Gulati (14415)_x000a__x000a_Teresa Kim (13865)"/>
    <s v="Existing Position &gt; Backfill"/>
    <s v="Justification provided by VP Finance"/>
  </r>
  <r>
    <s v="REQID54958"/>
    <s v="VP, Professional Services"/>
    <s v="Filled"/>
    <m/>
    <s v="2"/>
    <s v="Remote India"/>
    <x v="2"/>
    <s v="Yogeshwari Rangaraj (14271)"/>
    <s v="David Nuernberg (12843)"/>
    <s v="7482 - Vice President - Professional Services MGT"/>
    <d v="2026-01-06T00:00:00"/>
    <d v="2026-01-05T00:00:00"/>
    <d v="2026-01-12T00:00:00"/>
    <n v="18100000"/>
    <s v="INR"/>
    <n v="1"/>
    <s v="Ready for Hire"/>
    <s v="400 Professional Services"/>
    <s v="Michael Teixeira (10388)"/>
    <s v="400 Professional Services"/>
    <s v="10383"/>
    <s v="Abhijeet Hatkar"/>
    <m/>
    <d v="2026-01-12T00:00:00"/>
    <s v="LinkedIn"/>
    <s v="Hardeep Gulati (14415)"/>
    <s v="Chris McCloskey (13804)"/>
    <m/>
    <s v="Chris McCloskey (13804)_x000a__x000a_Hardeep Gulati (14415)"/>
    <s v="Existing Position &gt; Backfill"/>
    <s v="Replacement for Manas Mishra"/>
  </r>
  <r>
    <m/>
    <m/>
    <m/>
    <m/>
    <m/>
    <m/>
    <x v="1"/>
    <m/>
    <m/>
    <m/>
    <m/>
    <m/>
    <m/>
    <m/>
    <m/>
    <m/>
    <m/>
    <m/>
    <m/>
    <m/>
    <m/>
    <m/>
    <m/>
    <m/>
    <m/>
    <m/>
    <m/>
    <m/>
    <m/>
    <m/>
    <m/>
  </r>
  <r>
    <m/>
    <m/>
    <m/>
    <m/>
    <m/>
    <m/>
    <x v="1"/>
    <m/>
    <m/>
    <m/>
    <m/>
    <m/>
    <m/>
    <m/>
    <m/>
    <m/>
    <m/>
    <m/>
    <m/>
    <m/>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s v="Rajesh Raheja (14444)"/>
    <s v="Everett Stevenson (14437)"/>
    <x v="0"/>
    <x v="0"/>
    <s v="LE002 Duck Creek Technologies, LLC"/>
    <s v="Employee"/>
    <s v="7955 - Manager (IC) - Application Problem Manager"/>
    <s v="Application Problem Manager"/>
    <s v="Employee"/>
    <s v="Existing Position"/>
    <s v="Holly Solomon"/>
    <d v="2026-03-17T00:00:00"/>
    <s v="Backfill"/>
    <s v="In Progress"/>
    <s v="Awaiting Action"/>
    <s v="REQID55045"/>
    <s v="this is using Keith Klein's backfill budget"/>
    <s v="Keith Klein (14350)"/>
    <n v="173400"/>
    <s v="7955 - Manager (IC) - Application Problem Manager"/>
    <s v="Application Problem Manager"/>
    <s v="Kabir Dhaliwal"/>
    <s v="P2580 Talent Acquisition Partner - Holly Solomon (13236)"/>
  </r>
  <r>
    <s v="Chris McCloskey (13804)"/>
    <s v="Sumit Gurjar (10029)"/>
    <x v="1"/>
    <x v="1"/>
    <s v="LE002 Duck Creek Technologies, LLC"/>
    <s v="Employee"/>
    <s v="7435 - Associate Manager - Software Configuration"/>
    <s v="Software Configuration Specialist III"/>
    <s v="Employee"/>
    <s v="Existing Position"/>
    <s v="Michael Teixeira"/>
    <d v="2026-03-13T00:00:00"/>
    <s v="Backfill"/>
    <s v="In Progress"/>
    <s v="Awaiting Action"/>
    <s v="REQID55035"/>
    <s v="Replacement for Gaurav Panchal"/>
    <s v="Gaurav Panchal (11752)"/>
    <n v="3870000"/>
    <s v="7435 - Associate Manager - Software Configuration"/>
    <s v="Software Configuration Specialist III"/>
    <s v="David Liu_x000a__x000a_Francois Acerra_x000a__x000a_Lucy Wang_x000a__x000a_Mark Salerno_x000a__x000a_Richard Premerlani"/>
    <s v="P1087 Talent Acquisition Sr Analyst - Dushyant Devlekar (11945)"/>
  </r>
  <r>
    <s v="Chris McCloskey (13804)"/>
    <s v="Rajaram Yadav (10813)"/>
    <x v="1"/>
    <x v="1"/>
    <s v="LE008 Duck Creek Technologies India LLP"/>
    <s v="Employee"/>
    <s v="7448 - Associate Manager - Software Solutions Engineering"/>
    <s v="Software Solutions Engineer III"/>
    <s v="Employee"/>
    <s v="Existing Position"/>
    <s v="Michael Teixeira"/>
    <d v="2026-03-10T00:00:00"/>
    <s v="Backfill"/>
    <s v="In Progress"/>
    <s v="Awaiting Action"/>
    <s v="REQID55034"/>
    <s v="Replacement for Rituparna Ghosh. Using Rituparna and Akash Sikawar as &quot;Pay For&quot;."/>
    <s v="Rituparna Ghosh (10148)"/>
    <n v="4708700"/>
    <s v="7448 - Associate Manager - Software Solutions Engineering"/>
    <s v="Software Solutions Engineer III"/>
    <s v="David Liu_x000a__x000a_Francois Acerra_x000a__x000a_Lucy Wang_x000a__x000a_Mark Salerno_x000a__x000a_Richard Premerlani"/>
    <s v="P1087 Talent Acquisition Sr Analyst - Dushyant Devlekar (11945)"/>
  </r>
  <r>
    <s v="Chris McCloskey (13804)"/>
    <s v="Sean Murphy (10944)"/>
    <x v="0"/>
    <x v="2"/>
    <s v="LE002 Duck Creek Technologies, LLC"/>
    <s v="Employee"/>
    <s v="8076 - Senior Director (MGMT) - Services GTM"/>
    <s v="Senior Director, GTM Lead of Professional Services (P&amp;C)"/>
    <s v="Employee"/>
    <s v="Administrative"/>
    <s v="Hari Thammineedi"/>
    <d v="2026-03-11T00:00:00"/>
    <s v="Update Hiring Requirements (Recruiter Use Only)"/>
    <s v="In Progress"/>
    <s v="Awaiting Action"/>
    <m/>
    <s v="New budgeted position"/>
    <m/>
    <n v="250000"/>
    <s v="8076 - Senior Director (MGMT) - Services GTM"/>
    <s v="Senior Director, GTM Lead of Professional Services (P&amp;C)"/>
    <s v="Kabir Dhaliwal_x000a__x000a_Mike Dailey_x000a__x000a_Renata Morgasi"/>
    <m/>
  </r>
  <r>
    <m/>
    <m/>
    <x v="2"/>
    <x v="3"/>
    <m/>
    <m/>
    <m/>
    <m/>
    <m/>
    <m/>
    <s v="Hari Thammineedi"/>
    <d v="2026-03-11T00:00:00"/>
    <m/>
    <s v="In Progress"/>
    <m/>
    <m/>
    <m/>
    <m/>
    <m/>
    <m/>
    <m/>
    <m/>
    <m/>
  </r>
  <r>
    <s v="Chris McCloskey (13804)"/>
    <s v="Kapil Sharma (10439)"/>
    <x v="3"/>
    <x v="1"/>
    <s v="LE007 Duck Creek Technologies Pty Ltd"/>
    <s v="Employee"/>
    <s v="7467 - Senior Manager (IC) - Business Architecture"/>
    <s v="Lead Business Architect."/>
    <s v="Employee"/>
    <s v="Administrative"/>
    <s v="Dushyant Devlekar"/>
    <d v="2026-03-10T00:00:00"/>
    <s v="Update Hiring Requirements (Recruiter Use Only)"/>
    <s v="In Progress"/>
    <s v="Awaiting Action"/>
    <m/>
    <s v="Replacement for Paul Dauban (Australia)"/>
    <s v="Paul Dauban (13351)"/>
    <n v="208900"/>
    <s v="7467 - Senior Manager (IC) - Business Architecture"/>
    <s v="Lead Business Architect."/>
    <s v="David Liu_x000a__x000a_Francois Acerra_x000a__x000a_Lucy Wang_x000a__x000a_Mark Salerno_x000a__x000a_Richard Premerlani"/>
    <m/>
  </r>
  <r>
    <m/>
    <m/>
    <x v="2"/>
    <x v="3"/>
    <m/>
    <m/>
    <m/>
    <m/>
    <m/>
    <m/>
    <s v="Alia O'Neill"/>
    <d v="2026-03-10T00:00:00"/>
    <m/>
    <s v="In Progress"/>
    <m/>
    <m/>
    <m/>
    <m/>
    <m/>
    <m/>
    <m/>
    <m/>
    <m/>
  </r>
  <r>
    <s v="Chris McCloskey (13804)"/>
    <s v="Randall Hirsch (10541)"/>
    <x v="1"/>
    <x v="4"/>
    <s v="LE008 Duck Creek Technologies India LLP"/>
    <s v="Employee"/>
    <s v="7787 - Manager - Customer Success Management"/>
    <s v="Manager - Customer Success Management"/>
    <s v="Employee"/>
    <s v="Administrative"/>
    <s v="Diksha Pradhan"/>
    <d v="2024-10-30T00:00:00"/>
    <s v="Update Hiring Requirements (Recruiter Use Only)"/>
    <s v="In Progress"/>
    <s v="Awaiting Action"/>
    <m/>
    <s v="Replace existing CSM (SWATI HIWARE - 12833)"/>
    <s v="SWATI HIWARE (12833)"/>
    <n v="2930400"/>
    <s v="7787 - Manager - Customer Success Management"/>
    <s v="Manager - Customer Success Management"/>
    <s v="Kabir Dhaliwal"/>
    <m/>
  </r>
  <r>
    <m/>
    <m/>
    <x v="2"/>
    <x v="3"/>
    <m/>
    <m/>
    <m/>
    <m/>
    <m/>
    <m/>
    <s v="Diksha Pradhan"/>
    <d v="2025-12-21T00:00:00"/>
    <m/>
    <s v="In Progress"/>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AFE4FDE-CDA3-430A-A61A-4C7445714EA6}"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st Center">
  <location ref="A42:B54" firstHeaderRow="1" firstDataRow="1" firstDataCol="1"/>
  <pivotFields count="23">
    <pivotField showAll="0"/>
    <pivotField showAll="0"/>
    <pivotField showAll="0">
      <items count="11">
        <item x="0"/>
        <item x="6"/>
        <item x="7"/>
        <item x="8"/>
        <item x="1"/>
        <item x="5"/>
        <item x="4"/>
        <item x="2"/>
        <item x="3"/>
        <item x="9"/>
        <item t="default"/>
      </items>
    </pivotField>
    <pivotField axis="axisRow" dataField="1" showAll="0">
      <items count="12">
        <item x="6"/>
        <item x="4"/>
        <item x="1"/>
        <item x="3"/>
        <item x="5"/>
        <item x="10"/>
        <item x="7"/>
        <item x="0"/>
        <item x="2"/>
        <item x="9"/>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2">
    <i>
      <x/>
    </i>
    <i>
      <x v="1"/>
    </i>
    <i>
      <x v="2"/>
    </i>
    <i>
      <x v="3"/>
    </i>
    <i>
      <x v="4"/>
    </i>
    <i>
      <x v="5"/>
    </i>
    <i>
      <x v="6"/>
    </i>
    <i>
      <x v="7"/>
    </i>
    <i>
      <x v="8"/>
    </i>
    <i>
      <x v="9"/>
    </i>
    <i>
      <x v="10"/>
    </i>
    <i t="grand">
      <x/>
    </i>
  </rowItems>
  <colItems count="1">
    <i/>
  </colItems>
  <dataFields count="1">
    <dataField name="Count" fld="3" subtotal="count" baseField="0" baseItem="0"/>
  </dataFields>
  <formats count="10">
    <format dxfId="53">
      <pivotArea type="all" dataOnly="0" outline="0" fieldPosition="0"/>
    </format>
    <format dxfId="52">
      <pivotArea outline="0" collapsedLevelsAreSubtotals="1" fieldPosition="0"/>
    </format>
    <format dxfId="51">
      <pivotArea field="2" type="button" dataOnly="0" labelOnly="1" outline="0"/>
    </format>
    <format dxfId="50">
      <pivotArea dataOnly="0" labelOnly="1" grandRow="1" outline="0" fieldPosition="0"/>
    </format>
    <format dxfId="49">
      <pivotArea dataOnly="0" labelOnly="1" outline="0" axis="axisValues" fieldPosition="0"/>
    </format>
    <format dxfId="48">
      <pivotArea type="all" dataOnly="0" outline="0" fieldPosition="0"/>
    </format>
    <format dxfId="47">
      <pivotArea outline="0" collapsedLevelsAreSubtotals="1" fieldPosition="0"/>
    </format>
    <format dxfId="46">
      <pivotArea field="2" type="button" dataOnly="0" labelOnly="1" outline="0"/>
    </format>
    <format dxfId="45">
      <pivotArea dataOnly="0" labelOnly="1" grandRow="1" outline="0" fieldPosition="0"/>
    </format>
    <format dxfId="4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090D19F-A613-4DA1-ADD5-2E13E91D5033}" name="PivotTable11" cacheId="8"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Job Profile" colHeaderCaption="Country">
  <location ref="A29:E39" firstHeaderRow="1" firstDataRow="2" firstDataCol="1"/>
  <pivotFields count="29">
    <pivotField showAll="0"/>
    <pivotField showAll="0"/>
    <pivotField showAll="0"/>
    <pivotField showAll="0"/>
    <pivotField showAll="0"/>
    <pivotField showAll="0"/>
    <pivotField axis="axisCol" showAll="0">
      <items count="8">
        <item x="2"/>
        <item x="6"/>
        <item x="5"/>
        <item x="0"/>
        <item x="3"/>
        <item x="4"/>
        <item x="1"/>
        <item t="default"/>
      </items>
    </pivotField>
    <pivotField showAll="0"/>
    <pivotField showAll="0"/>
    <pivotField axis="axisRow" dataField="1" showAll="0">
      <items count="63">
        <item h="1" x="28"/>
        <item h="1" x="27"/>
        <item h="1" x="6"/>
        <item x="17"/>
        <item h="1" x="0"/>
        <item h="1" x="4"/>
        <item h="1" x="7"/>
        <item h="1" x="61"/>
        <item x="1"/>
        <item h="1" x="26"/>
        <item h="1" x="41"/>
        <item h="1" x="19"/>
        <item h="1" x="8"/>
        <item h="1" x="38"/>
        <item h="1" x="39"/>
        <item h="1" x="60"/>
        <item h="1" x="9"/>
        <item h="1" x="47"/>
        <item h="1" x="30"/>
        <item h="1" x="51"/>
        <item h="1" x="52"/>
        <item h="1" x="3"/>
        <item h="1" x="24"/>
        <item h="1" x="12"/>
        <item h="1" x="59"/>
        <item h="1" x="31"/>
        <item h="1" x="15"/>
        <item h="1" x="57"/>
        <item x="23"/>
        <item x="29"/>
        <item h="1" x="22"/>
        <item h="1" x="21"/>
        <item x="16"/>
        <item h="1" x="42"/>
        <item h="1" x="14"/>
        <item h="1" x="50"/>
        <item h="1" x="5"/>
        <item h="1" x="53"/>
        <item h="1" x="10"/>
        <item h="1" x="25"/>
        <item h="1" x="2"/>
        <item h="1" x="35"/>
        <item h="1" x="43"/>
        <item h="1" x="46"/>
        <item h="1" x="40"/>
        <item h="1" x="18"/>
        <item x="20"/>
        <item h="1" x="34"/>
        <item h="1" x="37"/>
        <item h="1" x="36"/>
        <item h="1" x="33"/>
        <item h="1" x="49"/>
        <item h="1" x="32"/>
        <item h="1" x="56"/>
        <item h="1" x="58"/>
        <item h="1" x="55"/>
        <item h="1" x="13"/>
        <item h="1" x="44"/>
        <item h="1" x="45"/>
        <item x="11"/>
        <item x="54"/>
        <item h="1" x="48"/>
        <item t="default"/>
      </items>
    </pivotField>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9">
    <i>
      <x v="3"/>
    </i>
    <i>
      <x v="8"/>
    </i>
    <i>
      <x v="28"/>
    </i>
    <i>
      <x v="29"/>
    </i>
    <i>
      <x v="32"/>
    </i>
    <i>
      <x v="46"/>
    </i>
    <i>
      <x v="59"/>
    </i>
    <i>
      <x v="60"/>
    </i>
    <i t="grand">
      <x/>
    </i>
  </rowItems>
  <colFields count="1">
    <field x="6"/>
  </colFields>
  <colItems count="4">
    <i>
      <x v="2"/>
    </i>
    <i>
      <x v="3"/>
    </i>
    <i>
      <x v="6"/>
    </i>
    <i t="grand">
      <x/>
    </i>
  </colItems>
  <dataFields count="1">
    <dataField name="Count of Job Profile" fld="9" subtotal="count" baseField="0" baseItem="0"/>
  </dataFields>
  <formats count="20">
    <format dxfId="73">
      <pivotArea type="all" dataOnly="0" outline="0" fieldPosition="0"/>
    </format>
    <format dxfId="72">
      <pivotArea outline="0" collapsedLevelsAreSubtotals="1" fieldPosition="0"/>
    </format>
    <format dxfId="71">
      <pivotArea type="origin" dataOnly="0" labelOnly="1" outline="0" fieldPosition="0"/>
    </format>
    <format dxfId="70">
      <pivotArea field="6" type="button" dataOnly="0" labelOnly="1" outline="0" axis="axisCol" fieldPosition="0"/>
    </format>
    <format dxfId="69">
      <pivotArea type="topRight" dataOnly="0" labelOnly="1" outline="0" fieldPosition="0"/>
    </format>
    <format dxfId="68">
      <pivotArea field="9" type="button" dataOnly="0" labelOnly="1" outline="0" axis="axisRow" fieldPosition="0"/>
    </format>
    <format dxfId="67">
      <pivotArea dataOnly="0" labelOnly="1" fieldPosition="0">
        <references count="1">
          <reference field="9" count="0"/>
        </references>
      </pivotArea>
    </format>
    <format dxfId="66">
      <pivotArea dataOnly="0" labelOnly="1" grandRow="1" outline="0" fieldPosition="0"/>
    </format>
    <format dxfId="65">
      <pivotArea dataOnly="0" labelOnly="1" fieldPosition="0">
        <references count="1">
          <reference field="6" count="3">
            <x v="2"/>
            <x v="3"/>
            <x v="6"/>
          </reference>
        </references>
      </pivotArea>
    </format>
    <format dxfId="64">
      <pivotArea dataOnly="0" labelOnly="1" grandCol="1" outline="0" fieldPosition="0"/>
    </format>
    <format dxfId="63">
      <pivotArea type="all" dataOnly="0" outline="0" fieldPosition="0"/>
    </format>
    <format dxfId="62">
      <pivotArea outline="0" collapsedLevelsAreSubtotals="1" fieldPosition="0"/>
    </format>
    <format dxfId="61">
      <pivotArea type="origin" dataOnly="0" labelOnly="1" outline="0" fieldPosition="0"/>
    </format>
    <format dxfId="60">
      <pivotArea field="6" type="button" dataOnly="0" labelOnly="1" outline="0" axis="axisCol" fieldPosition="0"/>
    </format>
    <format dxfId="59">
      <pivotArea type="topRight" dataOnly="0" labelOnly="1" outline="0" fieldPosition="0"/>
    </format>
    <format dxfId="58">
      <pivotArea field="9" type="button" dataOnly="0" labelOnly="1" outline="0" axis="axisRow" fieldPosition="0"/>
    </format>
    <format dxfId="57">
      <pivotArea dataOnly="0" labelOnly="1" fieldPosition="0">
        <references count="1">
          <reference field="9" count="0"/>
        </references>
      </pivotArea>
    </format>
    <format dxfId="56">
      <pivotArea dataOnly="0" labelOnly="1" grandRow="1" outline="0" fieldPosition="0"/>
    </format>
    <format dxfId="55">
      <pivotArea dataOnly="0" labelOnly="1" fieldPosition="0">
        <references count="1">
          <reference field="6" count="3">
            <x v="2"/>
            <x v="3"/>
            <x v="6"/>
          </reference>
        </references>
      </pivotArea>
    </format>
    <format dxfId="54">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0BF5306-AEC9-468B-B532-AEEB76F428D1}" name="PivotTable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untry - Joined">
  <location ref="C27:D34" firstHeaderRow="1" firstDataRow="1" firstDataCol="1"/>
  <pivotFields count="31">
    <pivotField showAll="0"/>
    <pivotField showAll="0"/>
    <pivotField showAll="0"/>
    <pivotField showAll="0"/>
    <pivotField showAll="0"/>
    <pivotField showAll="0"/>
    <pivotField axis="axisRow" dataField="1" showAll="0">
      <items count="8">
        <item x="3"/>
        <item x="6"/>
        <item x="5"/>
        <item x="2"/>
        <item x="4"/>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7">
    <i>
      <x/>
    </i>
    <i>
      <x v="1"/>
    </i>
    <i>
      <x v="2"/>
    </i>
    <i>
      <x v="3"/>
    </i>
    <i>
      <x v="4"/>
    </i>
    <i>
      <x v="5"/>
    </i>
    <i t="grand">
      <x/>
    </i>
  </rowItems>
  <colItems count="1">
    <i/>
  </colItems>
  <dataFields count="1">
    <dataField name="Count" fld="6" subtotal="count" baseField="0" baseItem="0"/>
  </dataFields>
  <formats count="14">
    <format dxfId="43">
      <pivotArea type="all" dataOnly="0" outline="0" fieldPosition="0"/>
    </format>
    <format dxfId="42">
      <pivotArea outline="0" collapsedLevelsAreSubtotals="1" fieldPosition="0"/>
    </format>
    <format dxfId="41">
      <pivotArea field="6" type="button" dataOnly="0" labelOnly="1" outline="0" axis="axisRow" fieldPosition="0"/>
    </format>
    <format dxfId="40">
      <pivotArea dataOnly="0" labelOnly="1" fieldPosition="0">
        <references count="1">
          <reference field="6" count="0"/>
        </references>
      </pivotArea>
    </format>
    <format dxfId="39">
      <pivotArea dataOnly="0" labelOnly="1" grandRow="1" outline="0" fieldPosition="0"/>
    </format>
    <format dxfId="38">
      <pivotArea dataOnly="0" labelOnly="1" outline="0" axis="axisValues" fieldPosition="0"/>
    </format>
    <format dxfId="37">
      <pivotArea field="6" type="button" dataOnly="0" labelOnly="1" outline="0" axis="axisRow" fieldPosition="0"/>
    </format>
    <format dxfId="36">
      <pivotArea dataOnly="0" labelOnly="1" outline="0" axis="axisValues" fieldPosition="0"/>
    </format>
    <format dxfId="35">
      <pivotArea type="all" dataOnly="0" outline="0" fieldPosition="0"/>
    </format>
    <format dxfId="34">
      <pivotArea outline="0" collapsedLevelsAreSubtotals="1" fieldPosition="0"/>
    </format>
    <format dxfId="33">
      <pivotArea dataOnly="0" labelOnly="1" fieldPosition="0">
        <references count="1">
          <reference field="6" count="0"/>
        </references>
      </pivotArea>
    </format>
    <format dxfId="32">
      <pivotArea dataOnly="0" labelOnly="1" grandRow="1" outline="0" fieldPosition="0"/>
    </format>
    <format dxfId="31">
      <pivotArea field="6" type="button" dataOnly="0" labelOnly="1" outline="0" axis="axisRow" fieldPosition="0"/>
    </format>
    <format dxfId="30">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EEC5941-7602-4D57-8F40-12D13A676940}"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2:E52" firstHeaderRow="1" firstDataRow="1" firstDataCol="1"/>
  <pivotFields count="23">
    <pivotField showAll="0"/>
    <pivotField showAll="0"/>
    <pivotField axis="axisRow" showAll="0">
      <items count="5">
        <item x="1"/>
        <item x="0"/>
        <item x="3"/>
        <item x="2"/>
        <item t="default"/>
      </items>
    </pivotField>
    <pivotField axis="axisRow" dataField="1" showAll="0">
      <items count="6">
        <item x="2"/>
        <item x="1"/>
        <item x="4"/>
        <item x="0"/>
        <item h="1" x="3"/>
        <item t="default"/>
      </items>
    </pivotField>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s>
  <rowFields count="2">
    <field x="3"/>
    <field x="2"/>
  </rowFields>
  <rowItems count="10">
    <i>
      <x/>
    </i>
    <i r="1">
      <x v="1"/>
    </i>
    <i>
      <x v="1"/>
    </i>
    <i r="1">
      <x/>
    </i>
    <i r="1">
      <x v="2"/>
    </i>
    <i>
      <x v="2"/>
    </i>
    <i r="1">
      <x/>
    </i>
    <i>
      <x v="3"/>
    </i>
    <i r="1">
      <x v="1"/>
    </i>
    <i t="grand">
      <x/>
    </i>
  </rowItems>
  <colItems count="1">
    <i/>
  </colItems>
  <dataFields count="1">
    <dataField name="Count" fld="3" subtotal="count" baseField="0" baseItem="0"/>
  </dataFields>
  <formats count="30">
    <format dxfId="29">
      <pivotArea type="all" dataOnly="0" outline="0" fieldPosition="0"/>
    </format>
    <format dxfId="28">
      <pivotArea outline="0" collapsedLevelsAreSubtotals="1" fieldPosition="0"/>
    </format>
    <format dxfId="27">
      <pivotArea field="3" type="button" dataOnly="0" labelOnly="1" outline="0" axis="axisRow" fieldPosition="0"/>
    </format>
    <format dxfId="26">
      <pivotArea dataOnly="0" labelOnly="1" fieldPosition="0">
        <references count="1">
          <reference field="3" count="0"/>
        </references>
      </pivotArea>
    </format>
    <format dxfId="25">
      <pivotArea dataOnly="0" labelOnly="1" grandRow="1" outline="0" fieldPosition="0"/>
    </format>
    <format dxfId="24">
      <pivotArea dataOnly="0" labelOnly="1" fieldPosition="0">
        <references count="2">
          <reference field="2" count="1">
            <x v="1"/>
          </reference>
          <reference field="3" count="1" selected="0">
            <x v="0"/>
          </reference>
        </references>
      </pivotArea>
    </format>
    <format dxfId="23">
      <pivotArea dataOnly="0" labelOnly="1" fieldPosition="0">
        <references count="2">
          <reference field="2" count="2">
            <x v="0"/>
            <x v="2"/>
          </reference>
          <reference field="3" count="1" selected="0">
            <x v="1"/>
          </reference>
        </references>
      </pivotArea>
    </format>
    <format dxfId="22">
      <pivotArea dataOnly="0" labelOnly="1" fieldPosition="0">
        <references count="2">
          <reference field="2" count="1">
            <x v="0"/>
          </reference>
          <reference field="3" count="1" selected="0">
            <x v="2"/>
          </reference>
        </references>
      </pivotArea>
    </format>
    <format dxfId="21">
      <pivotArea dataOnly="0" labelOnly="1" fieldPosition="0">
        <references count="2">
          <reference field="2" count="1">
            <x v="1"/>
          </reference>
          <reference field="3" count="1" selected="0">
            <x v="3"/>
          </reference>
        </references>
      </pivotArea>
    </format>
    <format dxfId="20">
      <pivotArea dataOnly="0" labelOnly="1" outline="0" axis="axisValues" fieldPosition="0"/>
    </format>
    <format dxfId="19">
      <pivotArea type="all" dataOnly="0" outline="0" fieldPosition="0"/>
    </format>
    <format dxfId="18">
      <pivotArea outline="0" collapsedLevelsAreSubtotals="1" fieldPosition="0"/>
    </format>
    <format dxfId="17">
      <pivotArea field="3" type="button" dataOnly="0" labelOnly="1" outline="0" axis="axisRow" fieldPosition="0"/>
    </format>
    <format dxfId="16">
      <pivotArea dataOnly="0" labelOnly="1" fieldPosition="0">
        <references count="1">
          <reference field="3" count="0"/>
        </references>
      </pivotArea>
    </format>
    <format dxfId="15">
      <pivotArea dataOnly="0" labelOnly="1" grandRow="1" outline="0" fieldPosition="0"/>
    </format>
    <format dxfId="14">
      <pivotArea dataOnly="0" labelOnly="1" fieldPosition="0">
        <references count="2">
          <reference field="2" count="1">
            <x v="1"/>
          </reference>
          <reference field="3" count="1" selected="0">
            <x v="0"/>
          </reference>
        </references>
      </pivotArea>
    </format>
    <format dxfId="13">
      <pivotArea dataOnly="0" labelOnly="1" fieldPosition="0">
        <references count="2">
          <reference field="2" count="2">
            <x v="0"/>
            <x v="2"/>
          </reference>
          <reference field="3" count="1" selected="0">
            <x v="1"/>
          </reference>
        </references>
      </pivotArea>
    </format>
    <format dxfId="12">
      <pivotArea dataOnly="0" labelOnly="1" fieldPosition="0">
        <references count="2">
          <reference field="2" count="1">
            <x v="0"/>
          </reference>
          <reference field="3" count="1" selected="0">
            <x v="2"/>
          </reference>
        </references>
      </pivotArea>
    </format>
    <format dxfId="11">
      <pivotArea dataOnly="0" labelOnly="1" fieldPosition="0">
        <references count="2">
          <reference field="2" count="1">
            <x v="1"/>
          </reference>
          <reference field="3" count="1" selected="0">
            <x v="3"/>
          </reference>
        </references>
      </pivotArea>
    </format>
    <format dxfId="10">
      <pivotArea dataOnly="0" labelOnly="1" outline="0" axis="axisValues" fieldPosition="0"/>
    </format>
    <format dxfId="9">
      <pivotArea type="all" dataOnly="0" outline="0" fieldPosition="0"/>
    </format>
    <format dxfId="8">
      <pivotArea outline="0" collapsedLevelsAreSubtotals="1" fieldPosition="0"/>
    </format>
    <format dxfId="7">
      <pivotArea field="3" type="button" dataOnly="0" labelOnly="1" outline="0" axis="axisRow" fieldPosition="0"/>
    </format>
    <format dxfId="6">
      <pivotArea dataOnly="0" labelOnly="1" fieldPosition="0">
        <references count="1">
          <reference field="3" count="0"/>
        </references>
      </pivotArea>
    </format>
    <format dxfId="5">
      <pivotArea dataOnly="0" labelOnly="1" grandRow="1" outline="0" fieldPosition="0"/>
    </format>
    <format dxfId="4">
      <pivotArea dataOnly="0" labelOnly="1" fieldPosition="0">
        <references count="2">
          <reference field="2" count="1">
            <x v="1"/>
          </reference>
          <reference field="3" count="1" selected="0">
            <x v="0"/>
          </reference>
        </references>
      </pivotArea>
    </format>
    <format dxfId="3">
      <pivotArea dataOnly="0" labelOnly="1" fieldPosition="0">
        <references count="2">
          <reference field="2" count="2">
            <x v="0"/>
            <x v="2"/>
          </reference>
          <reference field="3" count="1" selected="0">
            <x v="1"/>
          </reference>
        </references>
      </pivotArea>
    </format>
    <format dxfId="2">
      <pivotArea dataOnly="0" labelOnly="1" fieldPosition="0">
        <references count="2">
          <reference field="2" count="1">
            <x v="0"/>
          </reference>
          <reference field="3" count="1" selected="0">
            <x v="2"/>
          </reference>
        </references>
      </pivotArea>
    </format>
    <format dxfId="1">
      <pivotArea dataOnly="0" labelOnly="1" fieldPosition="0">
        <references count="2">
          <reference field="2" count="1">
            <x v="1"/>
          </reference>
          <reference field="3" count="1" selected="0">
            <x v="3"/>
          </reference>
        </references>
      </pivotArea>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8F8D4AC-5997-4BF1-B5CF-764465493910}">
  <we:reference id="wa200010215" version="1.0.0.0" store="en-US" storeType="OMEX"/>
  <we:alternateReferences>
    <we:reference id="WA200010215" version="1.0.0.0" store="" storeType="OMEX"/>
  </we:alternateReferences>
  <we:properties/>
  <we:bindings/>
  <we:snapshot xmlns:r="http://schemas.openxmlformats.org/officeDocument/2006/relationships"/>
</we:webextension>
</file>

<file path=xl/worksheets/_rels/sheet3.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hyperlink" Target="https://criteriacorp.wistia.com/medias/r5mywfw878%20-%20the%20team%20took%20this%20up%20with%20additional%20brainstorming%20sessions%20on%20identifying%20fake%20candidates" TargetMode="Externa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criteriacorp.wistia.com/medias/r5mywfw878%20-%20the%20team%20took%20this%20up%20with%20additional%20brainstorming%20sessions%20on%20identifying%20fake%20candidates" TargetMode="Externa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hyperlink" Target="mailto:21@%25%20of%20the%20open%20reqs%20are%20with%20Engineering%20team" TargetMode="Externa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2"/>
  <sheetViews>
    <sheetView topLeftCell="D1" workbookViewId="0">
      <selection activeCell="C2" sqref="C2:K2"/>
    </sheetView>
  </sheetViews>
  <sheetFormatPr defaultRowHeight="14.5" x14ac:dyDescent="0.35"/>
  <cols>
    <col min="1" max="1" width="44" customWidth="1"/>
    <col min="2" max="2" width="16" customWidth="1"/>
    <col min="3" max="3" width="34" customWidth="1"/>
    <col min="4" max="4" width="31" customWidth="1"/>
    <col min="5" max="5" width="30" customWidth="1"/>
    <col min="6" max="6" width="21" customWidth="1"/>
    <col min="7" max="7" width="13" customWidth="1"/>
    <col min="8" max="8" width="8" customWidth="1"/>
    <col min="9" max="9" width="13" customWidth="1"/>
    <col min="10" max="10" width="11" customWidth="1"/>
    <col min="11" max="11" width="15" customWidth="1"/>
  </cols>
  <sheetData>
    <row r="1" spans="1:11" ht="18.5" x14ac:dyDescent="0.45">
      <c r="A1" s="91" t="s">
        <v>0</v>
      </c>
      <c r="B1" s="92"/>
      <c r="C1" s="92"/>
      <c r="D1" s="92"/>
      <c r="E1" s="92"/>
      <c r="F1" s="92"/>
      <c r="G1" s="92"/>
      <c r="H1" s="92"/>
      <c r="I1" s="92"/>
      <c r="J1" s="92"/>
      <c r="K1" s="92"/>
    </row>
    <row r="2" spans="1:11" x14ac:dyDescent="0.35">
      <c r="A2" t="s">
        <v>1</v>
      </c>
      <c r="B2" t="s">
        <v>2</v>
      </c>
      <c r="C2" t="s">
        <v>3</v>
      </c>
      <c r="D2" t="s">
        <v>4</v>
      </c>
      <c r="E2" t="s">
        <v>5</v>
      </c>
      <c r="F2" t="s">
        <v>6</v>
      </c>
      <c r="G2" t="s">
        <v>7</v>
      </c>
      <c r="H2" t="s">
        <v>8</v>
      </c>
      <c r="I2" t="s">
        <v>9</v>
      </c>
      <c r="J2" t="s">
        <v>10</v>
      </c>
      <c r="K2" t="s">
        <v>11</v>
      </c>
    </row>
    <row r="3" spans="1:11" x14ac:dyDescent="0.35">
      <c r="A3" t="s">
        <v>12</v>
      </c>
      <c r="B3" t="s">
        <v>13</v>
      </c>
    </row>
    <row r="4" spans="1:11" x14ac:dyDescent="0.35">
      <c r="A4" t="s">
        <v>12</v>
      </c>
      <c r="B4" t="s">
        <v>14</v>
      </c>
    </row>
    <row r="5" spans="1:11" x14ac:dyDescent="0.35">
      <c r="A5" t="s">
        <v>12</v>
      </c>
      <c r="B5" t="s">
        <v>15</v>
      </c>
    </row>
    <row r="6" spans="1:11" x14ac:dyDescent="0.35">
      <c r="A6" t="s">
        <v>12</v>
      </c>
      <c r="B6" t="s">
        <v>16</v>
      </c>
    </row>
    <row r="7" spans="1:11" x14ac:dyDescent="0.35">
      <c r="A7" t="s">
        <v>12</v>
      </c>
      <c r="B7" t="s">
        <v>17</v>
      </c>
    </row>
    <row r="8" spans="1:11" x14ac:dyDescent="0.35">
      <c r="A8" t="s">
        <v>18</v>
      </c>
      <c r="B8" t="s">
        <v>13</v>
      </c>
    </row>
    <row r="9" spans="1:11" x14ac:dyDescent="0.35">
      <c r="A9" t="s">
        <v>18</v>
      </c>
      <c r="B9" t="s">
        <v>14</v>
      </c>
    </row>
    <row r="10" spans="1:11" x14ac:dyDescent="0.35">
      <c r="A10" t="s">
        <v>18</v>
      </c>
      <c r="B10" t="s">
        <v>15</v>
      </c>
    </row>
    <row r="11" spans="1:11" x14ac:dyDescent="0.35">
      <c r="A11" t="s">
        <v>18</v>
      </c>
      <c r="B11" t="s">
        <v>16</v>
      </c>
    </row>
    <row r="12" spans="1:11" x14ac:dyDescent="0.35">
      <c r="A12" t="s">
        <v>18</v>
      </c>
      <c r="B12" t="s">
        <v>17</v>
      </c>
    </row>
    <row r="13" spans="1:11" x14ac:dyDescent="0.35">
      <c r="A13" t="s">
        <v>19</v>
      </c>
      <c r="B13" t="s">
        <v>13</v>
      </c>
    </row>
    <row r="14" spans="1:11" x14ac:dyDescent="0.35">
      <c r="A14" t="s">
        <v>19</v>
      </c>
      <c r="B14" t="s">
        <v>14</v>
      </c>
    </row>
    <row r="15" spans="1:11" x14ac:dyDescent="0.35">
      <c r="A15" t="s">
        <v>19</v>
      </c>
      <c r="B15" t="s">
        <v>15</v>
      </c>
    </row>
    <row r="16" spans="1:11" x14ac:dyDescent="0.35">
      <c r="A16" t="s">
        <v>19</v>
      </c>
      <c r="B16" t="s">
        <v>16</v>
      </c>
    </row>
    <row r="17" spans="1:2" x14ac:dyDescent="0.35">
      <c r="A17" t="s">
        <v>19</v>
      </c>
      <c r="B17" t="s">
        <v>17</v>
      </c>
    </row>
    <row r="18" spans="1:2" x14ac:dyDescent="0.35">
      <c r="A18" t="s">
        <v>20</v>
      </c>
      <c r="B18" t="s">
        <v>13</v>
      </c>
    </row>
    <row r="19" spans="1:2" x14ac:dyDescent="0.35">
      <c r="A19" t="s">
        <v>20</v>
      </c>
      <c r="B19" t="s">
        <v>14</v>
      </c>
    </row>
    <row r="20" spans="1:2" x14ac:dyDescent="0.35">
      <c r="A20" t="s">
        <v>20</v>
      </c>
      <c r="B20" t="s">
        <v>15</v>
      </c>
    </row>
    <row r="21" spans="1:2" x14ac:dyDescent="0.35">
      <c r="A21" t="s">
        <v>20</v>
      </c>
      <c r="B21" t="s">
        <v>16</v>
      </c>
    </row>
    <row r="22" spans="1:2" x14ac:dyDescent="0.35">
      <c r="A22" t="s">
        <v>20</v>
      </c>
      <c r="B22" t="s">
        <v>17</v>
      </c>
    </row>
  </sheetData>
  <mergeCells count="1">
    <mergeCell ref="A1:K1"/>
  </mergeCells>
  <pageMargins left="0.75" right="0.75" top="1" bottom="1" header="0.5" footer="0.5"/>
  <headerFooter>
    <oddHeader>&amp;L&amp;"Aptos"&amp;10&amp;K000000 Classified: RESTRICTED&amp;1#_x000D_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8AF43-7A26-4158-B34B-88AE509ECE1F}">
  <dimension ref="A1:J30"/>
  <sheetViews>
    <sheetView topLeftCell="A12" workbookViewId="0">
      <selection activeCell="B8" sqref="B8"/>
    </sheetView>
  </sheetViews>
  <sheetFormatPr defaultRowHeight="14.5" x14ac:dyDescent="0.35"/>
  <cols>
    <col min="1" max="1" width="39.453125" bestFit="1" customWidth="1"/>
    <col min="4" max="4" width="35.26953125" bestFit="1" customWidth="1"/>
    <col min="7" max="7" width="37.54296875" bestFit="1" customWidth="1"/>
    <col min="10" max="10" width="110.1796875" bestFit="1" customWidth="1"/>
  </cols>
  <sheetData>
    <row r="1" spans="1:10" x14ac:dyDescent="0.35">
      <c r="A1" s="6" t="s">
        <v>21</v>
      </c>
      <c r="D1" s="20" t="s">
        <v>22</v>
      </c>
      <c r="G1" s="5" t="s">
        <v>23</v>
      </c>
      <c r="H1" s="6" t="s">
        <v>24</v>
      </c>
      <c r="J1" s="21" t="s">
        <v>25</v>
      </c>
    </row>
    <row r="2" spans="1:10" x14ac:dyDescent="0.35">
      <c r="A2" s="18" t="s">
        <v>26</v>
      </c>
      <c r="B2" s="18" t="s">
        <v>27</v>
      </c>
      <c r="D2" s="18" t="s">
        <v>28</v>
      </c>
      <c r="E2" s="18" t="s">
        <v>27</v>
      </c>
      <c r="G2" s="18" t="s">
        <v>28</v>
      </c>
      <c r="H2" s="18" t="s">
        <v>27</v>
      </c>
      <c r="J2" s="22" t="s">
        <v>29</v>
      </c>
    </row>
    <row r="3" spans="1:10" x14ac:dyDescent="0.35">
      <c r="A3" s="3" t="s">
        <v>30</v>
      </c>
      <c r="B3" s="3">
        <v>16</v>
      </c>
      <c r="D3" s="10" t="s">
        <v>31</v>
      </c>
      <c r="E3" s="3">
        <v>1</v>
      </c>
      <c r="G3" s="3" t="s">
        <v>32</v>
      </c>
      <c r="H3" s="3">
        <v>1</v>
      </c>
      <c r="J3" s="22" t="s">
        <v>33</v>
      </c>
    </row>
    <row r="4" spans="1:10" x14ac:dyDescent="0.35">
      <c r="A4" s="3" t="s">
        <v>34</v>
      </c>
      <c r="B4" s="3">
        <v>2</v>
      </c>
      <c r="D4" s="10" t="s">
        <v>35</v>
      </c>
      <c r="E4" s="3">
        <v>1</v>
      </c>
      <c r="G4" s="3" t="s">
        <v>36</v>
      </c>
      <c r="H4" s="3">
        <v>3</v>
      </c>
      <c r="J4" s="21" t="s">
        <v>37</v>
      </c>
    </row>
    <row r="5" spans="1:10" x14ac:dyDescent="0.35">
      <c r="A5" s="3" t="s">
        <v>38</v>
      </c>
      <c r="B5" s="3">
        <v>18</v>
      </c>
      <c r="D5" s="10" t="s">
        <v>39</v>
      </c>
      <c r="E5" s="3">
        <v>10</v>
      </c>
      <c r="G5" s="3" t="s">
        <v>35</v>
      </c>
      <c r="H5" s="3">
        <v>2</v>
      </c>
      <c r="J5" s="22" t="s">
        <v>40</v>
      </c>
    </row>
    <row r="6" spans="1:10" x14ac:dyDescent="0.35">
      <c r="A6" s="3" t="s">
        <v>41</v>
      </c>
      <c r="B6" s="3">
        <v>11</v>
      </c>
      <c r="D6" s="10" t="s">
        <v>42</v>
      </c>
      <c r="E6" s="3">
        <v>3</v>
      </c>
      <c r="G6" s="3" t="s">
        <v>39</v>
      </c>
      <c r="H6" s="3">
        <v>11</v>
      </c>
      <c r="J6" s="22" t="s">
        <v>43</v>
      </c>
    </row>
    <row r="7" spans="1:10" x14ac:dyDescent="0.35">
      <c r="A7" s="3" t="s">
        <v>44</v>
      </c>
      <c r="B7" s="3">
        <v>14</v>
      </c>
      <c r="D7" s="10" t="s">
        <v>45</v>
      </c>
      <c r="E7" s="3">
        <v>2</v>
      </c>
      <c r="G7" s="3" t="s">
        <v>46</v>
      </c>
      <c r="H7" s="3">
        <v>3</v>
      </c>
      <c r="J7" s="21" t="s">
        <v>47</v>
      </c>
    </row>
    <row r="8" spans="1:10" x14ac:dyDescent="0.35">
      <c r="A8" s="3" t="s">
        <v>48</v>
      </c>
      <c r="B8" s="3">
        <v>5</v>
      </c>
      <c r="D8" s="10" t="s">
        <v>49</v>
      </c>
      <c r="E8" s="3">
        <v>9</v>
      </c>
      <c r="G8" s="3" t="s">
        <v>42</v>
      </c>
      <c r="H8" s="3">
        <v>6</v>
      </c>
      <c r="J8" s="22" t="s">
        <v>50</v>
      </c>
    </row>
    <row r="9" spans="1:10" ht="17.5" x14ac:dyDescent="0.35">
      <c r="A9" s="18" t="s">
        <v>51</v>
      </c>
      <c r="B9" s="18">
        <v>66</v>
      </c>
      <c r="D9" s="18" t="s">
        <v>51</v>
      </c>
      <c r="E9" s="18">
        <v>26</v>
      </c>
      <c r="G9" s="3" t="s">
        <v>45</v>
      </c>
      <c r="H9" s="3">
        <v>3</v>
      </c>
      <c r="J9" s="23" t="s">
        <v>52</v>
      </c>
    </row>
    <row r="10" spans="1:10" x14ac:dyDescent="0.35">
      <c r="G10" s="3" t="s">
        <v>49</v>
      </c>
      <c r="H10" s="3">
        <v>8</v>
      </c>
      <c r="J10" s="21" t="s">
        <v>53</v>
      </c>
    </row>
    <row r="11" spans="1:10" x14ac:dyDescent="0.35">
      <c r="A11" s="18" t="s">
        <v>54</v>
      </c>
      <c r="B11" s="18">
        <v>32</v>
      </c>
      <c r="D11" s="18" t="s">
        <v>55</v>
      </c>
      <c r="E11" s="3"/>
      <c r="G11" s="18" t="s">
        <v>51</v>
      </c>
      <c r="H11" s="18">
        <v>37</v>
      </c>
      <c r="J11" s="22" t="s">
        <v>56</v>
      </c>
    </row>
    <row r="12" spans="1:10" x14ac:dyDescent="0.35">
      <c r="A12" s="3" t="s">
        <v>57</v>
      </c>
      <c r="B12" s="3" t="s">
        <v>27</v>
      </c>
      <c r="D12" s="10" t="s">
        <v>58</v>
      </c>
      <c r="E12" s="3" t="s">
        <v>59</v>
      </c>
      <c r="J12" s="21" t="s">
        <v>60</v>
      </c>
    </row>
    <row r="13" spans="1:10" x14ac:dyDescent="0.35">
      <c r="A13" s="3" t="s">
        <v>31</v>
      </c>
      <c r="B13" s="3">
        <v>1</v>
      </c>
      <c r="D13" s="10" t="s">
        <v>61</v>
      </c>
      <c r="E13" s="3" t="s">
        <v>62</v>
      </c>
      <c r="G13" s="18" t="s">
        <v>63</v>
      </c>
      <c r="H13" s="10"/>
      <c r="J13" s="22" t="s">
        <v>64</v>
      </c>
    </row>
    <row r="14" spans="1:10" x14ac:dyDescent="0.35">
      <c r="A14" s="3" t="s">
        <v>32</v>
      </c>
      <c r="B14" s="3">
        <v>2</v>
      </c>
      <c r="D14" s="10" t="s">
        <v>65</v>
      </c>
      <c r="E14" s="24">
        <v>0.375</v>
      </c>
      <c r="G14" s="10" t="s">
        <v>66</v>
      </c>
      <c r="H14" s="10">
        <v>1</v>
      </c>
      <c r="J14" s="22" t="s">
        <v>67</v>
      </c>
    </row>
    <row r="15" spans="1:10" x14ac:dyDescent="0.35">
      <c r="A15" s="3" t="s">
        <v>35</v>
      </c>
      <c r="B15" s="3">
        <v>1</v>
      </c>
      <c r="D15" s="10" t="s">
        <v>68</v>
      </c>
      <c r="E15" s="25">
        <v>0.03</v>
      </c>
      <c r="G15" s="10" t="s">
        <v>69</v>
      </c>
      <c r="H15" s="10">
        <v>5</v>
      </c>
    </row>
    <row r="16" spans="1:10" x14ac:dyDescent="0.35">
      <c r="A16" s="3" t="s">
        <v>39</v>
      </c>
      <c r="B16" s="3">
        <v>12</v>
      </c>
      <c r="D16" s="10" t="s">
        <v>70</v>
      </c>
      <c r="E16" s="10" t="s">
        <v>71</v>
      </c>
      <c r="G16" s="10" t="s">
        <v>72</v>
      </c>
      <c r="H16" s="10">
        <v>12</v>
      </c>
    </row>
    <row r="17" spans="1:8" x14ac:dyDescent="0.35">
      <c r="A17" s="3" t="s">
        <v>42</v>
      </c>
      <c r="B17" s="3">
        <v>4</v>
      </c>
      <c r="G17" s="10" t="s">
        <v>73</v>
      </c>
      <c r="H17" s="10">
        <v>1</v>
      </c>
    </row>
    <row r="18" spans="1:8" x14ac:dyDescent="0.35">
      <c r="A18" s="3" t="s">
        <v>45</v>
      </c>
      <c r="B18" s="3">
        <v>1</v>
      </c>
    </row>
    <row r="19" spans="1:8" x14ac:dyDescent="0.35">
      <c r="A19" s="3" t="s">
        <v>49</v>
      </c>
      <c r="B19" s="3">
        <v>11</v>
      </c>
    </row>
    <row r="20" spans="1:8" x14ac:dyDescent="0.35">
      <c r="A20" s="18" t="s">
        <v>51</v>
      </c>
      <c r="B20" s="18">
        <v>32</v>
      </c>
    </row>
    <row r="22" spans="1:8" x14ac:dyDescent="0.35">
      <c r="A22" s="26" t="s">
        <v>74</v>
      </c>
      <c r="B22" s="26" t="s">
        <v>75</v>
      </c>
      <c r="C22" s="26" t="s">
        <v>76</v>
      </c>
      <c r="E22" s="26" t="s">
        <v>77</v>
      </c>
      <c r="F22" s="3"/>
      <c r="G22" s="3"/>
    </row>
    <row r="23" spans="1:8" x14ac:dyDescent="0.35">
      <c r="A23" s="9" t="s">
        <v>78</v>
      </c>
      <c r="B23" s="9" t="s">
        <v>79</v>
      </c>
      <c r="C23" s="9" t="s">
        <v>80</v>
      </c>
      <c r="E23" s="26" t="s">
        <v>81</v>
      </c>
      <c r="F23" s="28" t="s">
        <v>82</v>
      </c>
      <c r="G23" s="28" t="s">
        <v>83</v>
      </c>
    </row>
    <row r="24" spans="1:8" x14ac:dyDescent="0.35">
      <c r="A24" s="9" t="s">
        <v>84</v>
      </c>
      <c r="B24" s="9" t="s">
        <v>85</v>
      </c>
      <c r="C24" s="9" t="s">
        <v>86</v>
      </c>
      <c r="E24" s="29" t="s">
        <v>87</v>
      </c>
      <c r="F24" s="29" t="s">
        <v>88</v>
      </c>
      <c r="G24" s="25">
        <v>0.4</v>
      </c>
    </row>
    <row r="25" spans="1:8" x14ac:dyDescent="0.35">
      <c r="A25" s="9" t="s">
        <v>89</v>
      </c>
      <c r="B25" s="9" t="s">
        <v>85</v>
      </c>
      <c r="C25" s="9" t="s">
        <v>86</v>
      </c>
      <c r="E25" s="29" t="s">
        <v>90</v>
      </c>
      <c r="F25" s="29" t="s">
        <v>91</v>
      </c>
      <c r="G25" s="25">
        <v>0.2</v>
      </c>
    </row>
    <row r="26" spans="1:8" x14ac:dyDescent="0.35">
      <c r="A26" s="27" t="s">
        <v>92</v>
      </c>
      <c r="B26" s="9" t="s">
        <v>93</v>
      </c>
      <c r="C26" s="9" t="s">
        <v>86</v>
      </c>
      <c r="E26" s="29" t="s">
        <v>94</v>
      </c>
      <c r="F26" s="29" t="s">
        <v>95</v>
      </c>
      <c r="G26" s="25">
        <v>0.15</v>
      </c>
    </row>
    <row r="27" spans="1:8" x14ac:dyDescent="0.35">
      <c r="A27" s="27" t="s">
        <v>96</v>
      </c>
      <c r="B27" s="9" t="s">
        <v>93</v>
      </c>
      <c r="C27" s="9" t="s">
        <v>86</v>
      </c>
      <c r="E27" s="29" t="s">
        <v>97</v>
      </c>
      <c r="F27" s="29" t="s">
        <v>98</v>
      </c>
      <c r="G27" s="25">
        <v>0.15</v>
      </c>
    </row>
    <row r="28" spans="1:8" x14ac:dyDescent="0.35">
      <c r="A28" s="27" t="s">
        <v>99</v>
      </c>
      <c r="B28" s="9" t="s">
        <v>93</v>
      </c>
      <c r="C28" s="9" t="s">
        <v>86</v>
      </c>
      <c r="E28" s="29" t="s">
        <v>52</v>
      </c>
      <c r="F28" s="29" t="s">
        <v>100</v>
      </c>
      <c r="G28" s="25">
        <v>0.1</v>
      </c>
    </row>
    <row r="29" spans="1:8" x14ac:dyDescent="0.35">
      <c r="A29" s="1" t="s">
        <v>101</v>
      </c>
      <c r="B29" s="1" t="s">
        <v>93</v>
      </c>
      <c r="C29" s="1" t="s">
        <v>86</v>
      </c>
    </row>
    <row r="30" spans="1:8" x14ac:dyDescent="0.35">
      <c r="A30" s="1" t="s">
        <v>102</v>
      </c>
      <c r="B30" s="1" t="s">
        <v>93</v>
      </c>
      <c r="C30" s="1" t="s">
        <v>86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5A535-1218-4D69-B4A1-64E0C01DDC4A}">
  <dimension ref="A1:K120"/>
  <sheetViews>
    <sheetView topLeftCell="A28" workbookViewId="0">
      <selection activeCell="G43" sqref="G43"/>
    </sheetView>
  </sheetViews>
  <sheetFormatPr defaultRowHeight="14.5" x14ac:dyDescent="0.35"/>
  <cols>
    <col min="1" max="1" width="46.1796875" customWidth="1"/>
    <col min="2" max="2" width="9.81640625" bestFit="1" customWidth="1"/>
    <col min="3" max="3" width="16.453125" customWidth="1"/>
    <col min="4" max="4" width="31.81640625" customWidth="1"/>
    <col min="5" max="5" width="5.1796875" bestFit="1" customWidth="1"/>
    <col min="6" max="6" width="12.1796875" bestFit="1" customWidth="1"/>
    <col min="7" max="7" width="53.453125" bestFit="1" customWidth="1"/>
    <col min="8" max="8" width="15.26953125" bestFit="1" customWidth="1"/>
    <col min="9" max="9" width="5.26953125" bestFit="1" customWidth="1"/>
    <col min="10" max="10" width="21.81640625" bestFit="1" customWidth="1"/>
    <col min="11" max="11" width="9.453125" customWidth="1"/>
  </cols>
  <sheetData>
    <row r="1" spans="1:11" x14ac:dyDescent="0.35">
      <c r="A1" s="6" t="s">
        <v>103</v>
      </c>
      <c r="D1" s="6" t="s">
        <v>104</v>
      </c>
      <c r="G1" s="2" t="s">
        <v>22</v>
      </c>
      <c r="J1" s="6" t="s">
        <v>105</v>
      </c>
    </row>
    <row r="2" spans="1:11" s="1" customFormat="1" x14ac:dyDescent="0.35">
      <c r="A2" s="4" t="s">
        <v>26</v>
      </c>
      <c r="B2" s="4" t="s">
        <v>27</v>
      </c>
      <c r="D2" s="18" t="s">
        <v>106</v>
      </c>
      <c r="E2" s="18" t="s">
        <v>27</v>
      </c>
      <c r="G2" s="4" t="s">
        <v>107</v>
      </c>
      <c r="H2" s="4" t="s">
        <v>27</v>
      </c>
      <c r="J2" s="17" t="s">
        <v>28</v>
      </c>
      <c r="K2" s="17" t="s">
        <v>27</v>
      </c>
    </row>
    <row r="3" spans="1:11" s="1" customFormat="1" x14ac:dyDescent="0.35">
      <c r="A3" s="3" t="s">
        <v>30</v>
      </c>
      <c r="B3" s="3">
        <v>14</v>
      </c>
      <c r="D3" s="3" t="s">
        <v>108</v>
      </c>
      <c r="E3" s="3">
        <v>11</v>
      </c>
      <c r="G3" s="3" t="s">
        <v>30</v>
      </c>
      <c r="H3" s="3">
        <v>7</v>
      </c>
      <c r="J3" s="3" t="s">
        <v>109</v>
      </c>
      <c r="K3" s="3">
        <v>1</v>
      </c>
    </row>
    <row r="4" spans="1:11" s="1" customFormat="1" x14ac:dyDescent="0.35">
      <c r="A4" s="3" t="s">
        <v>38</v>
      </c>
      <c r="B4" s="3">
        <v>19</v>
      </c>
      <c r="D4" s="3" t="s">
        <v>110</v>
      </c>
      <c r="E4" s="3">
        <v>4</v>
      </c>
      <c r="G4" s="3" t="s">
        <v>38</v>
      </c>
      <c r="H4" s="3">
        <v>9</v>
      </c>
      <c r="J4" s="3" t="s">
        <v>111</v>
      </c>
      <c r="K4" s="3">
        <v>1</v>
      </c>
    </row>
    <row r="5" spans="1:11" s="1" customFormat="1" x14ac:dyDescent="0.35">
      <c r="A5" s="3" t="s">
        <v>112</v>
      </c>
      <c r="B5" s="3">
        <v>10</v>
      </c>
      <c r="D5" s="3" t="s">
        <v>113</v>
      </c>
      <c r="E5" s="3">
        <v>28</v>
      </c>
      <c r="G5" s="3" t="s">
        <v>112</v>
      </c>
      <c r="H5" s="3">
        <v>1</v>
      </c>
      <c r="J5" s="3" t="s">
        <v>114</v>
      </c>
      <c r="K5" s="3">
        <v>1</v>
      </c>
    </row>
    <row r="6" spans="1:11" s="1" customFormat="1" x14ac:dyDescent="0.35">
      <c r="A6" s="3" t="s">
        <v>115</v>
      </c>
      <c r="B6" s="3">
        <v>1</v>
      </c>
      <c r="D6" s="3" t="s">
        <v>116</v>
      </c>
      <c r="E6" s="3">
        <v>2</v>
      </c>
      <c r="G6" s="3" t="s">
        <v>117</v>
      </c>
      <c r="H6" s="3">
        <v>2</v>
      </c>
      <c r="J6" s="3" t="s">
        <v>31</v>
      </c>
      <c r="K6" s="3">
        <v>1</v>
      </c>
    </row>
    <row r="7" spans="1:11" s="1" customFormat="1" x14ac:dyDescent="0.35">
      <c r="A7" s="3" t="s">
        <v>117</v>
      </c>
      <c r="B7" s="3">
        <v>14</v>
      </c>
      <c r="D7" s="3" t="s">
        <v>118</v>
      </c>
      <c r="E7" s="3">
        <v>8</v>
      </c>
      <c r="G7" s="3" t="s">
        <v>41</v>
      </c>
      <c r="H7" s="3">
        <v>4</v>
      </c>
      <c r="J7" s="3" t="s">
        <v>32</v>
      </c>
      <c r="K7" s="3">
        <v>2</v>
      </c>
    </row>
    <row r="8" spans="1:11" s="1" customFormat="1" x14ac:dyDescent="0.35">
      <c r="A8" s="33" t="s">
        <v>119</v>
      </c>
      <c r="B8" s="3">
        <v>1</v>
      </c>
      <c r="D8" s="3" t="s">
        <v>120</v>
      </c>
      <c r="E8" s="3">
        <v>25</v>
      </c>
      <c r="G8" s="3" t="s">
        <v>44</v>
      </c>
      <c r="H8" s="3">
        <v>8</v>
      </c>
      <c r="J8" s="3" t="s">
        <v>36</v>
      </c>
      <c r="K8" s="3">
        <v>7</v>
      </c>
    </row>
    <row r="9" spans="1:11" s="1" customFormat="1" x14ac:dyDescent="0.35">
      <c r="A9" s="3" t="s">
        <v>41</v>
      </c>
      <c r="B9" s="3">
        <v>11</v>
      </c>
      <c r="D9" s="3" t="s">
        <v>121</v>
      </c>
      <c r="E9" s="3">
        <v>11</v>
      </c>
      <c r="G9" s="4" t="s">
        <v>51</v>
      </c>
      <c r="H9" s="4">
        <v>31</v>
      </c>
      <c r="J9" s="3" t="s">
        <v>35</v>
      </c>
      <c r="K9" s="3">
        <v>4</v>
      </c>
    </row>
    <row r="10" spans="1:11" s="1" customFormat="1" x14ac:dyDescent="0.35">
      <c r="A10" s="3" t="s">
        <v>122</v>
      </c>
      <c r="B10" s="3">
        <v>1</v>
      </c>
      <c r="D10" s="3" t="s">
        <v>123</v>
      </c>
      <c r="E10" s="3">
        <v>1</v>
      </c>
      <c r="J10" s="3" t="s">
        <v>124</v>
      </c>
      <c r="K10" s="3">
        <v>2</v>
      </c>
    </row>
    <row r="11" spans="1:11" s="1" customFormat="1" x14ac:dyDescent="0.35">
      <c r="A11" s="3" t="s">
        <v>44</v>
      </c>
      <c r="B11" s="3">
        <v>16</v>
      </c>
      <c r="D11" s="18" t="s">
        <v>51</v>
      </c>
      <c r="E11" s="18">
        <v>90</v>
      </c>
      <c r="J11" s="3" t="s">
        <v>125</v>
      </c>
      <c r="K11" s="3">
        <v>2</v>
      </c>
    </row>
    <row r="12" spans="1:11" s="1" customFormat="1" x14ac:dyDescent="0.35">
      <c r="A12" s="3" t="s">
        <v>48</v>
      </c>
      <c r="B12" s="3">
        <v>3</v>
      </c>
      <c r="J12" s="3" t="s">
        <v>39</v>
      </c>
      <c r="K12" s="3">
        <v>15</v>
      </c>
    </row>
    <row r="13" spans="1:11" s="1" customFormat="1" x14ac:dyDescent="0.35">
      <c r="A13" s="4" t="s">
        <v>51</v>
      </c>
      <c r="B13" s="4">
        <f>SUM(B3:B12)</f>
        <v>90</v>
      </c>
      <c r="J13" s="3" t="s">
        <v>46</v>
      </c>
      <c r="K13" s="3">
        <v>3</v>
      </c>
    </row>
    <row r="14" spans="1:11" s="1" customFormat="1" x14ac:dyDescent="0.35">
      <c r="D14" s="2" t="s">
        <v>126</v>
      </c>
      <c r="J14" s="3" t="s">
        <v>42</v>
      </c>
      <c r="K14" s="3">
        <v>4</v>
      </c>
    </row>
    <row r="15" spans="1:11" s="1" customFormat="1" x14ac:dyDescent="0.35">
      <c r="A15" s="19" t="s">
        <v>23</v>
      </c>
      <c r="D15" s="37" t="s">
        <v>127</v>
      </c>
      <c r="E15" s="37" t="s">
        <v>27</v>
      </c>
      <c r="J15" s="3" t="s">
        <v>45</v>
      </c>
      <c r="K15" s="3">
        <v>4</v>
      </c>
    </row>
    <row r="16" spans="1:11" s="1" customFormat="1" x14ac:dyDescent="0.35">
      <c r="A16" s="18" t="s">
        <v>107</v>
      </c>
      <c r="B16" s="18" t="s">
        <v>27</v>
      </c>
      <c r="D16" s="38" t="s">
        <v>128</v>
      </c>
      <c r="E16" s="36"/>
      <c r="G16" s="30" t="s">
        <v>129</v>
      </c>
      <c r="H16" s="9"/>
      <c r="J16" s="3" t="s">
        <v>130</v>
      </c>
      <c r="K16" s="3">
        <v>1</v>
      </c>
    </row>
    <row r="17" spans="1:11" s="1" customFormat="1" x14ac:dyDescent="0.35">
      <c r="A17" s="3" t="s">
        <v>30</v>
      </c>
      <c r="B17" s="3">
        <v>7</v>
      </c>
      <c r="D17" s="36" t="s">
        <v>131</v>
      </c>
      <c r="E17" s="36">
        <v>55</v>
      </c>
      <c r="G17" s="9" t="s">
        <v>132</v>
      </c>
      <c r="H17" s="9">
        <v>52</v>
      </c>
      <c r="J17" s="3" t="s">
        <v>49</v>
      </c>
      <c r="K17" s="3">
        <v>11</v>
      </c>
    </row>
    <row r="18" spans="1:11" s="1" customFormat="1" x14ac:dyDescent="0.35">
      <c r="A18" s="3" t="s">
        <v>38</v>
      </c>
      <c r="B18" s="3">
        <v>10</v>
      </c>
      <c r="D18" s="36" t="s">
        <v>86</v>
      </c>
      <c r="E18" s="36">
        <v>7</v>
      </c>
      <c r="G18" s="9" t="s">
        <v>133</v>
      </c>
      <c r="H18" s="9">
        <v>102</v>
      </c>
      <c r="J18" s="18" t="s">
        <v>51</v>
      </c>
      <c r="K18" s="3">
        <v>59</v>
      </c>
    </row>
    <row r="19" spans="1:11" s="1" customFormat="1" x14ac:dyDescent="0.35">
      <c r="A19" s="3" t="s">
        <v>112</v>
      </c>
      <c r="B19" s="3">
        <v>9</v>
      </c>
      <c r="D19" s="36" t="s">
        <v>80</v>
      </c>
      <c r="E19" s="36">
        <v>1</v>
      </c>
      <c r="G19" s="9" t="s">
        <v>134</v>
      </c>
      <c r="H19" s="9">
        <v>36</v>
      </c>
    </row>
    <row r="20" spans="1:11" s="1" customFormat="1" x14ac:dyDescent="0.35">
      <c r="A20" s="3" t="s">
        <v>115</v>
      </c>
      <c r="B20" s="3">
        <v>1</v>
      </c>
      <c r="D20" s="38" t="s">
        <v>135</v>
      </c>
      <c r="E20" s="36"/>
    </row>
    <row r="21" spans="1:11" s="1" customFormat="1" x14ac:dyDescent="0.35">
      <c r="A21" s="3" t="s">
        <v>117</v>
      </c>
      <c r="B21" s="3">
        <v>12</v>
      </c>
      <c r="D21" s="36" t="s">
        <v>136</v>
      </c>
      <c r="E21" s="36">
        <v>1</v>
      </c>
    </row>
    <row r="22" spans="1:11" s="1" customFormat="1" x14ac:dyDescent="0.35">
      <c r="A22" s="3" t="s">
        <v>119</v>
      </c>
      <c r="B22" s="3">
        <v>1</v>
      </c>
      <c r="D22" s="36" t="s">
        <v>137</v>
      </c>
      <c r="E22" s="36">
        <v>1</v>
      </c>
    </row>
    <row r="23" spans="1:11" s="1" customFormat="1" x14ac:dyDescent="0.35">
      <c r="A23" s="3" t="s">
        <v>41</v>
      </c>
      <c r="B23" s="3">
        <v>7</v>
      </c>
      <c r="D23" s="36" t="s">
        <v>138</v>
      </c>
      <c r="E23" s="36">
        <v>8</v>
      </c>
    </row>
    <row r="24" spans="1:11" s="1" customFormat="1" x14ac:dyDescent="0.35">
      <c r="A24" s="3" t="s">
        <v>122</v>
      </c>
      <c r="B24" s="3">
        <v>1</v>
      </c>
      <c r="D24" s="36" t="s">
        <v>139</v>
      </c>
      <c r="E24" s="36">
        <v>2</v>
      </c>
    </row>
    <row r="25" spans="1:11" s="1" customFormat="1" x14ac:dyDescent="0.35">
      <c r="A25" s="3" t="s">
        <v>44</v>
      </c>
      <c r="B25" s="3">
        <v>8</v>
      </c>
      <c r="D25" s="36" t="s">
        <v>140</v>
      </c>
      <c r="E25" s="36">
        <v>15</v>
      </c>
    </row>
    <row r="26" spans="1:11" s="1" customFormat="1" x14ac:dyDescent="0.35">
      <c r="A26" s="3" t="s">
        <v>48</v>
      </c>
      <c r="B26" s="3">
        <v>3</v>
      </c>
      <c r="D26" s="36" t="s">
        <v>141</v>
      </c>
      <c r="E26" s="36">
        <v>90</v>
      </c>
    </row>
    <row r="27" spans="1:11" s="1" customFormat="1" x14ac:dyDescent="0.35">
      <c r="A27" s="18" t="s">
        <v>51</v>
      </c>
      <c r="B27" s="18">
        <v>59</v>
      </c>
    </row>
    <row r="28" spans="1:11" s="1" customFormat="1" x14ac:dyDescent="0.35"/>
    <row r="29" spans="1:11" s="1" customFormat="1" ht="26" x14ac:dyDescent="0.35">
      <c r="A29" s="7" t="s">
        <v>142</v>
      </c>
      <c r="B29" s="7" t="s">
        <v>127</v>
      </c>
      <c r="C29" s="3"/>
      <c r="D29" s="3"/>
      <c r="E29" s="3"/>
      <c r="G29" s="14" t="s">
        <v>143</v>
      </c>
      <c r="H29" s="14" t="s">
        <v>144</v>
      </c>
      <c r="I29" s="14" t="s">
        <v>145</v>
      </c>
    </row>
    <row r="30" spans="1:11" s="1" customFormat="1" x14ac:dyDescent="0.35">
      <c r="A30" s="7" t="s">
        <v>146</v>
      </c>
      <c r="B30" s="3" t="s">
        <v>137</v>
      </c>
      <c r="C30" s="3" t="s">
        <v>131</v>
      </c>
      <c r="D30" s="3" t="s">
        <v>140</v>
      </c>
      <c r="E30" s="3" t="s">
        <v>141</v>
      </c>
      <c r="G30" s="12" t="s">
        <v>147</v>
      </c>
      <c r="H30" s="13">
        <v>14572</v>
      </c>
      <c r="I30" s="13">
        <v>1388</v>
      </c>
    </row>
    <row r="31" spans="1:11" s="1" customFormat="1" x14ac:dyDescent="0.35">
      <c r="A31" s="3" t="s">
        <v>148</v>
      </c>
      <c r="B31" s="3"/>
      <c r="C31" s="3"/>
      <c r="D31" s="3">
        <v>2</v>
      </c>
      <c r="E31" s="3">
        <v>2</v>
      </c>
      <c r="G31" s="12" t="s">
        <v>149</v>
      </c>
      <c r="H31" s="13">
        <v>68</v>
      </c>
      <c r="I31" s="13">
        <v>3</v>
      </c>
    </row>
    <row r="32" spans="1:11" s="1" customFormat="1" x14ac:dyDescent="0.35">
      <c r="A32" s="3" t="s">
        <v>150</v>
      </c>
      <c r="B32" s="3"/>
      <c r="C32" s="3">
        <v>2</v>
      </c>
      <c r="D32" s="3">
        <v>1</v>
      </c>
      <c r="E32" s="3">
        <v>3</v>
      </c>
      <c r="G32" s="12" t="s">
        <v>151</v>
      </c>
      <c r="H32" s="13">
        <v>273</v>
      </c>
      <c r="I32" s="13">
        <v>2</v>
      </c>
    </row>
    <row r="33" spans="1:10" s="1" customFormat="1" x14ac:dyDescent="0.35">
      <c r="A33" s="3" t="s">
        <v>152</v>
      </c>
      <c r="B33" s="3"/>
      <c r="C33" s="3"/>
      <c r="D33" s="3">
        <v>1</v>
      </c>
      <c r="E33" s="3">
        <v>1</v>
      </c>
      <c r="G33" s="12" t="s">
        <v>153</v>
      </c>
      <c r="H33" s="13">
        <v>179</v>
      </c>
      <c r="I33" s="13">
        <v>2</v>
      </c>
    </row>
    <row r="34" spans="1:10" s="1" customFormat="1" x14ac:dyDescent="0.35">
      <c r="A34" s="3" t="s">
        <v>154</v>
      </c>
      <c r="B34" s="3">
        <v>1</v>
      </c>
      <c r="C34" s="3"/>
      <c r="D34" s="3"/>
      <c r="E34" s="3">
        <v>1</v>
      </c>
      <c r="G34" s="12" t="s">
        <v>155</v>
      </c>
      <c r="H34" s="13">
        <v>169</v>
      </c>
      <c r="I34" s="13">
        <v>1</v>
      </c>
    </row>
    <row r="35" spans="1:10" s="1" customFormat="1" x14ac:dyDescent="0.35">
      <c r="A35" s="3" t="s">
        <v>156</v>
      </c>
      <c r="B35" s="3"/>
      <c r="C35" s="3"/>
      <c r="D35" s="3">
        <v>1</v>
      </c>
      <c r="E35" s="3">
        <v>1</v>
      </c>
      <c r="G35" s="15" t="s">
        <v>141</v>
      </c>
      <c r="H35" s="16">
        <f>SUM(H30:H34)</f>
        <v>15261</v>
      </c>
      <c r="I35" s="16">
        <v>1388</v>
      </c>
    </row>
    <row r="36" spans="1:10" s="1" customFormat="1" x14ac:dyDescent="0.35">
      <c r="A36" s="3" t="s">
        <v>157</v>
      </c>
      <c r="B36" s="3"/>
      <c r="C36" s="3">
        <v>1</v>
      </c>
      <c r="D36" s="3"/>
      <c r="E36" s="3">
        <v>1</v>
      </c>
    </row>
    <row r="37" spans="1:10" s="1" customFormat="1" x14ac:dyDescent="0.35">
      <c r="A37" s="3" t="s">
        <v>158</v>
      </c>
      <c r="B37" s="3"/>
      <c r="C37" s="3"/>
      <c r="D37" s="3">
        <v>1</v>
      </c>
      <c r="E37" s="3">
        <v>1</v>
      </c>
      <c r="G37" s="39" t="s">
        <v>159</v>
      </c>
      <c r="H37" s="35"/>
      <c r="I37" s="35"/>
      <c r="J37" s="35"/>
    </row>
    <row r="38" spans="1:10" s="1" customFormat="1" x14ac:dyDescent="0.35">
      <c r="A38" s="3" t="s">
        <v>160</v>
      </c>
      <c r="B38" s="3"/>
      <c r="C38" s="3"/>
      <c r="D38" s="3">
        <v>1</v>
      </c>
      <c r="E38" s="3">
        <v>1</v>
      </c>
      <c r="G38" s="34" t="s">
        <v>161</v>
      </c>
      <c r="H38" s="35"/>
      <c r="I38" s="35"/>
      <c r="J38" s="35"/>
    </row>
    <row r="39" spans="1:10" s="1" customFormat="1" x14ac:dyDescent="0.35">
      <c r="A39" s="3" t="s">
        <v>141</v>
      </c>
      <c r="B39" s="3">
        <v>1</v>
      </c>
      <c r="C39" s="3">
        <v>3</v>
      </c>
      <c r="D39" s="3">
        <v>7</v>
      </c>
      <c r="E39" s="3">
        <v>11</v>
      </c>
      <c r="G39" s="39" t="s">
        <v>162</v>
      </c>
      <c r="H39" s="35"/>
      <c r="I39" s="35"/>
      <c r="J39" s="35"/>
    </row>
    <row r="40" spans="1:10" s="1" customFormat="1" x14ac:dyDescent="0.35">
      <c r="G40" s="34" t="s">
        <v>163</v>
      </c>
      <c r="H40" s="35"/>
      <c r="I40" s="35"/>
      <c r="J40" s="35"/>
    </row>
    <row r="41" spans="1:10" s="1" customFormat="1" x14ac:dyDescent="0.35">
      <c r="A41" s="2" t="s">
        <v>164</v>
      </c>
      <c r="D41" s="2" t="s">
        <v>165</v>
      </c>
      <c r="G41" s="93" t="s">
        <v>166</v>
      </c>
      <c r="H41" s="94"/>
      <c r="I41" s="94"/>
      <c r="J41" s="95"/>
    </row>
    <row r="42" spans="1:10" s="1" customFormat="1" x14ac:dyDescent="0.35">
      <c r="A42" s="7" t="s">
        <v>167</v>
      </c>
      <c r="B42" s="3" t="s">
        <v>27</v>
      </c>
      <c r="D42" s="8" t="s">
        <v>76</v>
      </c>
      <c r="E42" s="8" t="s">
        <v>27</v>
      </c>
      <c r="G42"/>
    </row>
    <row r="43" spans="1:10" s="1" customFormat="1" x14ac:dyDescent="0.35">
      <c r="A43" s="3" t="s">
        <v>109</v>
      </c>
      <c r="B43" s="3">
        <v>1</v>
      </c>
      <c r="D43" s="3" t="s">
        <v>168</v>
      </c>
      <c r="E43" s="3">
        <v>1</v>
      </c>
    </row>
    <row r="44" spans="1:10" s="1" customFormat="1" x14ac:dyDescent="0.35">
      <c r="A44" s="3" t="s">
        <v>31</v>
      </c>
      <c r="B44" s="3">
        <v>2</v>
      </c>
      <c r="D44" s="3" t="s">
        <v>169</v>
      </c>
      <c r="E44" s="3">
        <v>13</v>
      </c>
    </row>
    <row r="45" spans="1:10" s="1" customFormat="1" x14ac:dyDescent="0.35">
      <c r="A45" s="3" t="s">
        <v>36</v>
      </c>
      <c r="B45" s="3">
        <v>1</v>
      </c>
      <c r="D45" s="3" t="s">
        <v>170</v>
      </c>
      <c r="E45" s="3">
        <v>1</v>
      </c>
    </row>
    <row r="46" spans="1:10" s="1" customFormat="1" x14ac:dyDescent="0.35">
      <c r="A46" s="3" t="s">
        <v>171</v>
      </c>
      <c r="B46" s="3">
        <v>1</v>
      </c>
      <c r="D46" s="3" t="s">
        <v>172</v>
      </c>
      <c r="E46" s="3">
        <v>1</v>
      </c>
    </row>
    <row r="47" spans="1:10" s="1" customFormat="1" x14ac:dyDescent="0.35">
      <c r="A47" s="3" t="s">
        <v>173</v>
      </c>
      <c r="B47" s="3">
        <v>1</v>
      </c>
      <c r="D47" s="3" t="s">
        <v>174</v>
      </c>
      <c r="E47" s="3">
        <v>1</v>
      </c>
    </row>
    <row r="48" spans="1:10" s="1" customFormat="1" x14ac:dyDescent="0.35">
      <c r="A48" s="3" t="s">
        <v>125</v>
      </c>
      <c r="B48" s="3">
        <v>1</v>
      </c>
      <c r="D48" s="3" t="s">
        <v>175</v>
      </c>
      <c r="E48" s="3">
        <v>4</v>
      </c>
    </row>
    <row r="49" spans="1:5" s="1" customFormat="1" x14ac:dyDescent="0.35">
      <c r="A49" s="3" t="s">
        <v>176</v>
      </c>
      <c r="B49" s="3">
        <v>1</v>
      </c>
      <c r="D49" s="3" t="s">
        <v>177</v>
      </c>
      <c r="E49" s="3">
        <v>1</v>
      </c>
    </row>
    <row r="50" spans="1:5" s="1" customFormat="1" x14ac:dyDescent="0.35">
      <c r="A50" s="3" t="s">
        <v>39</v>
      </c>
      <c r="B50" s="3">
        <v>10</v>
      </c>
      <c r="D50" s="8" t="s">
        <v>51</v>
      </c>
      <c r="E50" s="8">
        <f>SUM(E43:E49)</f>
        <v>22</v>
      </c>
    </row>
    <row r="51" spans="1:5" s="1" customFormat="1" x14ac:dyDescent="0.35">
      <c r="A51" s="3" t="s">
        <v>178</v>
      </c>
      <c r="B51" s="3">
        <v>3</v>
      </c>
    </row>
    <row r="52" spans="1:5" s="1" customFormat="1" x14ac:dyDescent="0.35">
      <c r="A52" s="3" t="s">
        <v>49</v>
      </c>
      <c r="B52" s="3">
        <v>1</v>
      </c>
    </row>
    <row r="53" spans="1:5" s="1" customFormat="1" x14ac:dyDescent="0.35">
      <c r="A53" s="3" t="s">
        <v>179</v>
      </c>
      <c r="B53" s="3"/>
    </row>
    <row r="54" spans="1:5" s="1" customFormat="1" x14ac:dyDescent="0.35">
      <c r="A54" s="3" t="s">
        <v>51</v>
      </c>
      <c r="B54" s="3">
        <v>22</v>
      </c>
    </row>
    <row r="55" spans="1:5" s="1" customFormat="1" x14ac:dyDescent="0.35"/>
    <row r="56" spans="1:5" s="1" customFormat="1" x14ac:dyDescent="0.35">
      <c r="A56" s="8" t="s">
        <v>180</v>
      </c>
      <c r="C56" s="31" t="s">
        <v>181</v>
      </c>
    </row>
    <row r="57" spans="1:5" s="1" customFormat="1" ht="36" customHeight="1" x14ac:dyDescent="0.35">
      <c r="A57" s="11" t="s">
        <v>182</v>
      </c>
      <c r="C57" s="32" t="s">
        <v>183</v>
      </c>
    </row>
    <row r="58" spans="1:5" s="1" customFormat="1" ht="72.5" x14ac:dyDescent="0.35">
      <c r="A58" s="11" t="s">
        <v>184</v>
      </c>
      <c r="C58" s="32" t="s">
        <v>185</v>
      </c>
    </row>
    <row r="59" spans="1:5" s="1" customFormat="1" ht="43.5" x14ac:dyDescent="0.35">
      <c r="A59" s="11" t="s">
        <v>186</v>
      </c>
      <c r="C59" s="32"/>
    </row>
    <row r="60" spans="1:5" s="1" customFormat="1" ht="43.5" x14ac:dyDescent="0.35">
      <c r="A60" s="11" t="s">
        <v>187</v>
      </c>
    </row>
    <row r="61" spans="1:5" s="1" customFormat="1" ht="29" x14ac:dyDescent="0.35">
      <c r="A61" s="11" t="s">
        <v>188</v>
      </c>
    </row>
    <row r="62" spans="1:5" s="1" customFormat="1" ht="29" x14ac:dyDescent="0.35">
      <c r="A62" s="11" t="s">
        <v>189</v>
      </c>
    </row>
    <row r="63" spans="1:5" s="1" customFormat="1" ht="43.5" x14ac:dyDescent="0.35">
      <c r="A63" s="11" t="s">
        <v>190</v>
      </c>
    </row>
    <row r="64" spans="1:5" s="1" customFormat="1" x14ac:dyDescent="0.35"/>
    <row r="65" s="1" customFormat="1" x14ac:dyDescent="0.35"/>
    <row r="66" s="1" customFormat="1" x14ac:dyDescent="0.35"/>
    <row r="67" s="1" customFormat="1" x14ac:dyDescent="0.35"/>
    <row r="68" s="1" customFormat="1" x14ac:dyDescent="0.35"/>
    <row r="69" s="1" customFormat="1" x14ac:dyDescent="0.35"/>
    <row r="70" s="1" customFormat="1" x14ac:dyDescent="0.35"/>
    <row r="71" s="1" customFormat="1" x14ac:dyDescent="0.35"/>
    <row r="72" s="1" customFormat="1" x14ac:dyDescent="0.35"/>
    <row r="73" s="1" customFormat="1" x14ac:dyDescent="0.35"/>
    <row r="74" s="1" customFormat="1" x14ac:dyDescent="0.35"/>
    <row r="75" s="1" customFormat="1" x14ac:dyDescent="0.35"/>
    <row r="76" s="1" customFormat="1" x14ac:dyDescent="0.35"/>
    <row r="77" s="1" customFormat="1" x14ac:dyDescent="0.35"/>
    <row r="78" s="1" customFormat="1" x14ac:dyDescent="0.35"/>
    <row r="79" s="1" customFormat="1" x14ac:dyDescent="0.35"/>
    <row r="80" s="1" customFormat="1" x14ac:dyDescent="0.35"/>
    <row r="81" s="1" customFormat="1" x14ac:dyDescent="0.35"/>
    <row r="82" s="1" customFormat="1" x14ac:dyDescent="0.35"/>
    <row r="83" s="1" customFormat="1" x14ac:dyDescent="0.35"/>
    <row r="84" s="1" customFormat="1" x14ac:dyDescent="0.35"/>
    <row r="85" s="1" customFormat="1" x14ac:dyDescent="0.35"/>
    <row r="86" s="1" customFormat="1" x14ac:dyDescent="0.35"/>
    <row r="87" s="1" customFormat="1" x14ac:dyDescent="0.35"/>
    <row r="88" s="1" customFormat="1" x14ac:dyDescent="0.35"/>
    <row r="89" s="1" customFormat="1" x14ac:dyDescent="0.35"/>
    <row r="90" s="1" customFormat="1" x14ac:dyDescent="0.35"/>
    <row r="91" s="1" customFormat="1" x14ac:dyDescent="0.35"/>
    <row r="92" s="1" customFormat="1" x14ac:dyDescent="0.35"/>
    <row r="93" s="1" customFormat="1" x14ac:dyDescent="0.35"/>
    <row r="94" s="1" customFormat="1" x14ac:dyDescent="0.35"/>
    <row r="95" s="1" customFormat="1" x14ac:dyDescent="0.35"/>
    <row r="96" s="1" customFormat="1" x14ac:dyDescent="0.35"/>
    <row r="97" spans="1:2" s="1" customFormat="1" x14ac:dyDescent="0.35"/>
    <row r="98" spans="1:2" s="1" customFormat="1" x14ac:dyDescent="0.35"/>
    <row r="99" spans="1:2" s="1" customFormat="1" x14ac:dyDescent="0.35"/>
    <row r="100" spans="1:2" s="1" customFormat="1" x14ac:dyDescent="0.35"/>
    <row r="101" spans="1:2" s="1" customFormat="1" x14ac:dyDescent="0.35"/>
    <row r="102" spans="1:2" s="1" customFormat="1" x14ac:dyDescent="0.35"/>
    <row r="103" spans="1:2" s="1" customFormat="1" x14ac:dyDescent="0.35"/>
    <row r="104" spans="1:2" s="1" customFormat="1" x14ac:dyDescent="0.35"/>
    <row r="105" spans="1:2" s="1" customFormat="1" x14ac:dyDescent="0.35"/>
    <row r="106" spans="1:2" s="1" customFormat="1" x14ac:dyDescent="0.35"/>
    <row r="107" spans="1:2" s="1" customFormat="1" x14ac:dyDescent="0.35"/>
    <row r="108" spans="1:2" s="1" customFormat="1" x14ac:dyDescent="0.35"/>
    <row r="109" spans="1:2" s="1" customFormat="1" x14ac:dyDescent="0.35"/>
    <row r="110" spans="1:2" s="1" customFormat="1" x14ac:dyDescent="0.35"/>
    <row r="111" spans="1:2" s="1" customFormat="1" x14ac:dyDescent="0.35">
      <c r="A111"/>
      <c r="B111"/>
    </row>
    <row r="112" spans="1:2" s="1" customFormat="1" x14ac:dyDescent="0.35">
      <c r="A112"/>
      <c r="B112"/>
    </row>
    <row r="113" spans="1:2" s="1" customFormat="1" x14ac:dyDescent="0.35">
      <c r="A113"/>
      <c r="B113"/>
    </row>
    <row r="114" spans="1:2" s="1" customFormat="1" x14ac:dyDescent="0.35">
      <c r="A114"/>
      <c r="B114"/>
    </row>
    <row r="115" spans="1:2" s="1" customFormat="1" x14ac:dyDescent="0.35">
      <c r="A115"/>
      <c r="B115"/>
    </row>
    <row r="116" spans="1:2" s="1" customFormat="1" x14ac:dyDescent="0.35">
      <c r="A116"/>
      <c r="B116"/>
    </row>
    <row r="117" spans="1:2" s="1" customFormat="1" x14ac:dyDescent="0.35">
      <c r="A117"/>
      <c r="B117"/>
    </row>
    <row r="118" spans="1:2" s="1" customFormat="1" x14ac:dyDescent="0.35">
      <c r="A118"/>
      <c r="B118"/>
    </row>
    <row r="119" spans="1:2" s="1" customFormat="1" x14ac:dyDescent="0.35">
      <c r="A119"/>
      <c r="B119"/>
    </row>
    <row r="120" spans="1:2" s="1" customFormat="1" x14ac:dyDescent="0.35">
      <c r="A120"/>
      <c r="B120"/>
    </row>
  </sheetData>
  <autoFilter ref="A2:B2" xr:uid="{D0A5A535-1218-4D69-B4A1-64E0C01DDC4A}"/>
  <mergeCells count="1">
    <mergeCell ref="G41:J4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D8FEB-4961-4004-A5C4-29E2E02E8B19}">
  <dimension ref="A1:AN107"/>
  <sheetViews>
    <sheetView topLeftCell="E29" workbookViewId="0">
      <selection activeCell="M7" sqref="M7"/>
    </sheetView>
  </sheetViews>
  <sheetFormatPr defaultRowHeight="14.5" x14ac:dyDescent="0.35"/>
  <cols>
    <col min="1" max="1" width="20.08984375" customWidth="1"/>
    <col min="5" max="5" width="45.7265625" bestFit="1" customWidth="1"/>
    <col min="7" max="7" width="8.7265625" style="1"/>
    <col min="8" max="8" width="35.453125" bestFit="1" customWidth="1"/>
    <col min="10" max="10" width="8.7265625" style="1"/>
    <col min="11" max="11" width="29.54296875" bestFit="1" customWidth="1"/>
    <col min="13" max="13" width="8.7265625" style="1"/>
    <col min="14" max="14" width="13.26953125" style="1" customWidth="1"/>
    <col min="15" max="40" width="8.7265625" style="1"/>
  </cols>
  <sheetData>
    <row r="1" spans="1:12" x14ac:dyDescent="0.35">
      <c r="A1" s="52" t="s">
        <v>225</v>
      </c>
      <c r="E1" s="6" t="s">
        <v>197</v>
      </c>
      <c r="H1" s="6" t="s">
        <v>192</v>
      </c>
      <c r="K1" s="6" t="s">
        <v>193</v>
      </c>
    </row>
    <row r="2" spans="1:12" x14ac:dyDescent="0.35">
      <c r="E2" s="4" t="s">
        <v>208</v>
      </c>
      <c r="F2" s="4" t="s">
        <v>27</v>
      </c>
      <c r="H2" s="4" t="s">
        <v>209</v>
      </c>
      <c r="I2" s="4" t="s">
        <v>27</v>
      </c>
      <c r="K2" s="4" t="s">
        <v>194</v>
      </c>
      <c r="L2" s="4" t="s">
        <v>27</v>
      </c>
    </row>
    <row r="3" spans="1:12" x14ac:dyDescent="0.35">
      <c r="E3" s="3" t="s">
        <v>30</v>
      </c>
      <c r="F3" s="3">
        <v>3</v>
      </c>
      <c r="H3" s="3" t="s">
        <v>108</v>
      </c>
      <c r="I3" s="3">
        <v>7</v>
      </c>
      <c r="K3" s="40" t="s">
        <v>38</v>
      </c>
      <c r="L3" s="40">
        <v>4</v>
      </c>
    </row>
    <row r="4" spans="1:12" x14ac:dyDescent="0.35">
      <c r="E4" s="3" t="s">
        <v>191</v>
      </c>
      <c r="F4" s="3">
        <v>1</v>
      </c>
      <c r="H4" s="3" t="s">
        <v>110</v>
      </c>
      <c r="I4" s="3">
        <v>5</v>
      </c>
      <c r="K4" s="41" t="s">
        <v>39</v>
      </c>
      <c r="L4" s="3">
        <v>3</v>
      </c>
    </row>
    <row r="5" spans="1:12" x14ac:dyDescent="0.35">
      <c r="E5" s="3" t="s">
        <v>38</v>
      </c>
      <c r="F5" s="3">
        <v>11</v>
      </c>
      <c r="H5" s="3" t="s">
        <v>113</v>
      </c>
      <c r="I5" s="3">
        <v>32</v>
      </c>
      <c r="K5" s="41" t="s">
        <v>42</v>
      </c>
      <c r="L5" s="3">
        <v>1</v>
      </c>
    </row>
    <row r="6" spans="1:12" x14ac:dyDescent="0.35">
      <c r="E6" s="3" t="s">
        <v>112</v>
      </c>
      <c r="F6" s="3">
        <v>13</v>
      </c>
      <c r="H6" s="3" t="s">
        <v>116</v>
      </c>
      <c r="I6" s="3">
        <v>4</v>
      </c>
      <c r="K6" s="40" t="s">
        <v>112</v>
      </c>
      <c r="L6" s="40">
        <v>2</v>
      </c>
    </row>
    <row r="7" spans="1:12" x14ac:dyDescent="0.35">
      <c r="E7" s="3" t="s">
        <v>115</v>
      </c>
      <c r="F7" s="3">
        <v>1</v>
      </c>
      <c r="H7" s="3" t="s">
        <v>118</v>
      </c>
      <c r="I7" s="3">
        <v>6</v>
      </c>
      <c r="K7" s="41" t="s">
        <v>31</v>
      </c>
      <c r="L7" s="3">
        <v>1</v>
      </c>
    </row>
    <row r="8" spans="1:12" x14ac:dyDescent="0.35">
      <c r="E8" s="3" t="s">
        <v>117</v>
      </c>
      <c r="F8" s="3">
        <v>14</v>
      </c>
      <c r="H8" s="3" t="s">
        <v>120</v>
      </c>
      <c r="I8" s="3">
        <v>9</v>
      </c>
      <c r="K8" s="41" t="s">
        <v>45</v>
      </c>
      <c r="L8" s="3">
        <v>1</v>
      </c>
    </row>
    <row r="9" spans="1:12" x14ac:dyDescent="0.35">
      <c r="E9" s="3" t="s">
        <v>41</v>
      </c>
      <c r="F9" s="3">
        <v>16</v>
      </c>
      <c r="H9" s="3" t="s">
        <v>121</v>
      </c>
      <c r="I9" s="3">
        <v>15</v>
      </c>
      <c r="K9" s="40" t="s">
        <v>117</v>
      </c>
      <c r="L9" s="40">
        <v>3</v>
      </c>
    </row>
    <row r="10" spans="1:12" x14ac:dyDescent="0.35">
      <c r="E10" s="3" t="s">
        <v>122</v>
      </c>
      <c r="F10" s="3">
        <v>1</v>
      </c>
      <c r="H10" s="4" t="s">
        <v>51</v>
      </c>
      <c r="I10" s="4">
        <v>78</v>
      </c>
      <c r="K10" s="41" t="s">
        <v>114</v>
      </c>
      <c r="L10" s="3">
        <v>1</v>
      </c>
    </row>
    <row r="11" spans="1:12" x14ac:dyDescent="0.35">
      <c r="E11" s="3" t="s">
        <v>44</v>
      </c>
      <c r="F11" s="3">
        <v>13</v>
      </c>
      <c r="H11" s="1"/>
      <c r="I11" s="1"/>
      <c r="K11" s="41" t="s">
        <v>130</v>
      </c>
      <c r="L11" s="3">
        <v>2</v>
      </c>
    </row>
    <row r="12" spans="1:12" x14ac:dyDescent="0.35">
      <c r="E12" s="3" t="s">
        <v>48</v>
      </c>
      <c r="F12" s="3">
        <v>5</v>
      </c>
      <c r="H12" s="1"/>
      <c r="I12" s="1"/>
      <c r="K12" s="40" t="s">
        <v>41</v>
      </c>
      <c r="L12" s="40">
        <v>3</v>
      </c>
    </row>
    <row r="13" spans="1:12" x14ac:dyDescent="0.35">
      <c r="E13" s="4" t="s">
        <v>51</v>
      </c>
      <c r="F13" s="4">
        <v>78</v>
      </c>
      <c r="H13" s="1"/>
      <c r="I13" s="1"/>
      <c r="K13" s="41" t="s">
        <v>39</v>
      </c>
      <c r="L13" s="3">
        <v>1</v>
      </c>
    </row>
    <row r="14" spans="1:12" x14ac:dyDescent="0.35">
      <c r="E14" s="44"/>
      <c r="F14" s="1"/>
      <c r="H14" s="1"/>
      <c r="I14" s="1"/>
      <c r="K14" s="41" t="s">
        <v>49</v>
      </c>
      <c r="L14" s="3">
        <v>2</v>
      </c>
    </row>
    <row r="15" spans="1:12" x14ac:dyDescent="0.35">
      <c r="E15" s="19" t="s">
        <v>195</v>
      </c>
      <c r="H15" s="6" t="s">
        <v>196</v>
      </c>
      <c r="K15" s="40" t="s">
        <v>44</v>
      </c>
      <c r="L15" s="40">
        <v>3</v>
      </c>
    </row>
    <row r="16" spans="1:12" x14ac:dyDescent="0.35">
      <c r="E16" s="4" t="s">
        <v>28</v>
      </c>
      <c r="F16" s="4" t="s">
        <v>27</v>
      </c>
      <c r="H16" s="4" t="s">
        <v>127</v>
      </c>
      <c r="I16" s="4" t="s">
        <v>27</v>
      </c>
      <c r="K16" s="41" t="s">
        <v>36</v>
      </c>
      <c r="L16" s="3">
        <v>1</v>
      </c>
    </row>
    <row r="17" spans="5:14" x14ac:dyDescent="0.35">
      <c r="E17" s="3" t="s">
        <v>109</v>
      </c>
      <c r="F17" s="3">
        <v>2</v>
      </c>
      <c r="H17" s="42" t="s">
        <v>128</v>
      </c>
      <c r="I17" s="3"/>
      <c r="K17" s="41" t="s">
        <v>39</v>
      </c>
      <c r="L17" s="3">
        <v>2</v>
      </c>
    </row>
    <row r="18" spans="5:14" x14ac:dyDescent="0.35">
      <c r="E18" s="3" t="s">
        <v>111</v>
      </c>
      <c r="F18" s="3">
        <v>1</v>
      </c>
      <c r="H18" s="43" t="s">
        <v>86</v>
      </c>
      <c r="I18" s="3">
        <v>7</v>
      </c>
      <c r="K18" s="40" t="s">
        <v>48</v>
      </c>
      <c r="L18" s="40">
        <v>3</v>
      </c>
    </row>
    <row r="19" spans="5:14" x14ac:dyDescent="0.35">
      <c r="E19" s="3" t="s">
        <v>114</v>
      </c>
      <c r="F19" s="3">
        <v>2</v>
      </c>
      <c r="H19" s="43" t="s">
        <v>80</v>
      </c>
      <c r="I19" s="3">
        <v>1</v>
      </c>
      <c r="K19" s="41" t="s">
        <v>31</v>
      </c>
      <c r="L19" s="3">
        <v>1</v>
      </c>
    </row>
    <row r="20" spans="5:14" x14ac:dyDescent="0.35">
      <c r="E20" s="3" t="s">
        <v>31</v>
      </c>
      <c r="F20" s="3">
        <v>2</v>
      </c>
      <c r="H20" s="43" t="s">
        <v>131</v>
      </c>
      <c r="I20" s="3">
        <v>28</v>
      </c>
      <c r="K20" s="41" t="s">
        <v>32</v>
      </c>
      <c r="L20" s="3">
        <v>1</v>
      </c>
    </row>
    <row r="21" spans="5:14" x14ac:dyDescent="0.35">
      <c r="E21" s="3" t="s">
        <v>36</v>
      </c>
      <c r="F21" s="3">
        <v>6</v>
      </c>
      <c r="H21" s="42" t="s">
        <v>207</v>
      </c>
      <c r="I21" s="3"/>
      <c r="K21" s="41" t="s">
        <v>171</v>
      </c>
      <c r="L21" s="3">
        <v>1</v>
      </c>
    </row>
    <row r="22" spans="5:14" x14ac:dyDescent="0.35">
      <c r="E22" s="3" t="s">
        <v>35</v>
      </c>
      <c r="F22" s="3">
        <v>5</v>
      </c>
      <c r="H22" s="43" t="s">
        <v>136</v>
      </c>
      <c r="I22" s="3">
        <v>1</v>
      </c>
      <c r="K22" s="4" t="s">
        <v>51</v>
      </c>
      <c r="L22" s="4">
        <v>18</v>
      </c>
    </row>
    <row r="23" spans="5:14" x14ac:dyDescent="0.35">
      <c r="E23" s="3" t="s">
        <v>124</v>
      </c>
      <c r="F23" s="3">
        <v>2</v>
      </c>
      <c r="H23" s="43" t="s">
        <v>137</v>
      </c>
      <c r="I23" s="3">
        <v>1</v>
      </c>
      <c r="K23" s="1"/>
      <c r="L23" s="1"/>
    </row>
    <row r="24" spans="5:14" x14ac:dyDescent="0.35">
      <c r="E24" s="3" t="s">
        <v>173</v>
      </c>
      <c r="F24" s="3">
        <v>1</v>
      </c>
      <c r="H24" s="43" t="s">
        <v>138</v>
      </c>
      <c r="I24" s="3">
        <v>7</v>
      </c>
      <c r="K24" s="1"/>
      <c r="L24" s="1"/>
    </row>
    <row r="25" spans="5:14" x14ac:dyDescent="0.35">
      <c r="E25" s="3" t="s">
        <v>125</v>
      </c>
      <c r="F25" s="3">
        <v>2</v>
      </c>
      <c r="H25" s="3" t="s">
        <v>140</v>
      </c>
      <c r="I25" s="3">
        <v>14</v>
      </c>
      <c r="K25" s="1"/>
      <c r="L25" s="1"/>
    </row>
    <row r="26" spans="5:14" ht="27" customHeight="1" x14ac:dyDescent="0.35">
      <c r="E26" s="3" t="s">
        <v>39</v>
      </c>
      <c r="F26" s="3">
        <v>11</v>
      </c>
      <c r="H26" s="43" t="s">
        <v>139</v>
      </c>
      <c r="I26" s="3">
        <v>1</v>
      </c>
      <c r="K26" s="4" t="s">
        <v>143</v>
      </c>
      <c r="L26" s="4" t="s">
        <v>144</v>
      </c>
      <c r="M26" s="4" t="s">
        <v>145</v>
      </c>
      <c r="N26" s="4" t="s">
        <v>27</v>
      </c>
    </row>
    <row r="27" spans="5:14" x14ac:dyDescent="0.35">
      <c r="E27" s="3" t="s">
        <v>178</v>
      </c>
      <c r="F27" s="3">
        <v>1</v>
      </c>
      <c r="H27" s="4" t="s">
        <v>141</v>
      </c>
      <c r="I27" s="4">
        <v>60</v>
      </c>
      <c r="K27" s="12" t="s">
        <v>147</v>
      </c>
      <c r="L27" s="13">
        <v>14934</v>
      </c>
      <c r="M27" s="45">
        <v>6592</v>
      </c>
      <c r="N27" s="45">
        <v>21526</v>
      </c>
    </row>
    <row r="28" spans="5:14" ht="29" x14ac:dyDescent="0.35">
      <c r="E28" s="3" t="s">
        <v>46</v>
      </c>
      <c r="F28" s="3">
        <v>3</v>
      </c>
      <c r="K28" s="12" t="s">
        <v>149</v>
      </c>
      <c r="L28" s="13">
        <v>63</v>
      </c>
      <c r="M28" s="45">
        <v>22</v>
      </c>
      <c r="N28" s="45">
        <v>85</v>
      </c>
    </row>
    <row r="29" spans="5:14" ht="29" x14ac:dyDescent="0.35">
      <c r="E29" s="3" t="s">
        <v>42</v>
      </c>
      <c r="F29" s="3">
        <v>5</v>
      </c>
      <c r="H29" s="3" t="s">
        <v>206</v>
      </c>
      <c r="I29" s="3">
        <v>70</v>
      </c>
      <c r="K29" s="12" t="s">
        <v>151</v>
      </c>
      <c r="L29" s="13">
        <v>302</v>
      </c>
      <c r="M29" s="45">
        <v>65</v>
      </c>
      <c r="N29" s="45">
        <v>367</v>
      </c>
    </row>
    <row r="30" spans="5:14" x14ac:dyDescent="0.35">
      <c r="E30" s="3" t="s">
        <v>45</v>
      </c>
      <c r="F30" s="3">
        <v>4</v>
      </c>
      <c r="H30" s="3" t="s">
        <v>58</v>
      </c>
      <c r="I30" s="3">
        <v>49</v>
      </c>
      <c r="K30" s="12" t="s">
        <v>153</v>
      </c>
      <c r="L30" s="13">
        <v>210</v>
      </c>
      <c r="M30" s="45">
        <v>36</v>
      </c>
      <c r="N30" s="45">
        <v>246</v>
      </c>
    </row>
    <row r="31" spans="5:14" x14ac:dyDescent="0.35">
      <c r="E31" s="3" t="s">
        <v>130</v>
      </c>
      <c r="F31" s="3">
        <v>1</v>
      </c>
      <c r="H31" s="3" t="s">
        <v>61</v>
      </c>
      <c r="I31" s="3">
        <v>105</v>
      </c>
      <c r="K31" s="12" t="s">
        <v>155</v>
      </c>
      <c r="L31" s="13">
        <v>205</v>
      </c>
      <c r="M31" s="45">
        <v>36</v>
      </c>
      <c r="N31" s="45">
        <v>241</v>
      </c>
    </row>
    <row r="32" spans="5:14" x14ac:dyDescent="0.35">
      <c r="E32" s="3" t="s">
        <v>49</v>
      </c>
      <c r="F32" s="3">
        <v>12</v>
      </c>
      <c r="H32" s="1"/>
      <c r="I32" s="1"/>
      <c r="K32" s="46" t="s">
        <v>198</v>
      </c>
      <c r="L32" s="1"/>
    </row>
    <row r="33" spans="5:12" x14ac:dyDescent="0.35">
      <c r="E33" s="4" t="s">
        <v>51</v>
      </c>
      <c r="F33" s="4">
        <v>60</v>
      </c>
      <c r="H33" s="1"/>
      <c r="I33" s="1"/>
      <c r="K33" s="47" t="s">
        <v>199</v>
      </c>
      <c r="L33" s="1"/>
    </row>
    <row r="34" spans="5:12" x14ac:dyDescent="0.35">
      <c r="E34" s="1"/>
      <c r="F34" s="1"/>
      <c r="H34" s="1"/>
      <c r="I34" s="1"/>
      <c r="K34" s="46" t="s">
        <v>200</v>
      </c>
      <c r="L34" s="1"/>
    </row>
    <row r="35" spans="5:12" x14ac:dyDescent="0.35">
      <c r="E35" s="1"/>
      <c r="F35" s="1"/>
      <c r="H35" s="1"/>
      <c r="I35" s="1"/>
      <c r="K35" s="47" t="s">
        <v>201</v>
      </c>
      <c r="L35" s="1"/>
    </row>
    <row r="36" spans="5:12" x14ac:dyDescent="0.35">
      <c r="E36" s="4" t="s">
        <v>213</v>
      </c>
      <c r="F36" s="4" t="s">
        <v>27</v>
      </c>
      <c r="H36" s="1"/>
      <c r="I36" s="1"/>
      <c r="K36" s="46" t="s">
        <v>202</v>
      </c>
      <c r="L36" s="1"/>
    </row>
    <row r="37" spans="5:12" x14ac:dyDescent="0.35">
      <c r="E37" s="40" t="s">
        <v>148</v>
      </c>
      <c r="F37" s="40">
        <v>2</v>
      </c>
      <c r="H37" s="1"/>
      <c r="I37" s="1"/>
      <c r="K37" s="47" t="s">
        <v>203</v>
      </c>
      <c r="L37" s="1"/>
    </row>
    <row r="38" spans="5:12" x14ac:dyDescent="0.35">
      <c r="E38" s="41" t="s">
        <v>140</v>
      </c>
      <c r="F38" s="3">
        <v>2</v>
      </c>
      <c r="H38" s="1"/>
      <c r="I38" s="1"/>
      <c r="K38" s="46" t="s">
        <v>204</v>
      </c>
      <c r="L38" s="1"/>
    </row>
    <row r="39" spans="5:12" x14ac:dyDescent="0.35">
      <c r="E39" s="40" t="s">
        <v>150</v>
      </c>
      <c r="F39" s="40">
        <v>2</v>
      </c>
      <c r="H39" s="1"/>
      <c r="I39" s="1"/>
      <c r="K39" s="47" t="s">
        <v>205</v>
      </c>
      <c r="L39" s="1"/>
    </row>
    <row r="40" spans="5:12" x14ac:dyDescent="0.35">
      <c r="E40" s="41" t="s">
        <v>131</v>
      </c>
      <c r="F40" s="3">
        <v>1</v>
      </c>
      <c r="H40" s="1"/>
      <c r="I40" s="1"/>
      <c r="K40" s="1"/>
      <c r="L40" s="1"/>
    </row>
    <row r="41" spans="5:12" x14ac:dyDescent="0.35">
      <c r="E41" s="41" t="s">
        <v>140</v>
      </c>
      <c r="F41" s="3">
        <v>1</v>
      </c>
      <c r="H41" s="1"/>
      <c r="I41" s="1"/>
      <c r="K41" s="1"/>
      <c r="L41" s="1"/>
    </row>
    <row r="42" spans="5:12" x14ac:dyDescent="0.35">
      <c r="E42" s="40" t="s">
        <v>152</v>
      </c>
      <c r="F42" s="40">
        <v>1</v>
      </c>
      <c r="H42" s="1"/>
      <c r="I42" s="1"/>
      <c r="K42" s="1"/>
      <c r="L42" s="1"/>
    </row>
    <row r="43" spans="5:12" x14ac:dyDescent="0.35">
      <c r="E43" s="41" t="s">
        <v>140</v>
      </c>
      <c r="F43" s="3">
        <v>1</v>
      </c>
      <c r="H43" s="1"/>
      <c r="I43" s="1"/>
      <c r="K43" s="1"/>
      <c r="L43" s="1"/>
    </row>
    <row r="44" spans="5:12" x14ac:dyDescent="0.35">
      <c r="E44" s="40" t="s">
        <v>154</v>
      </c>
      <c r="F44" s="40">
        <v>1</v>
      </c>
      <c r="H44" s="1"/>
      <c r="I44" s="1"/>
      <c r="K44" s="1"/>
      <c r="L44" s="1"/>
    </row>
    <row r="45" spans="5:12" x14ac:dyDescent="0.35">
      <c r="E45" s="41" t="s">
        <v>137</v>
      </c>
      <c r="F45" s="3">
        <v>1</v>
      </c>
      <c r="H45" s="1"/>
      <c r="I45" s="1"/>
      <c r="K45" s="1"/>
      <c r="L45" s="1"/>
    </row>
    <row r="46" spans="5:12" x14ac:dyDescent="0.35">
      <c r="E46" s="40" t="s">
        <v>212</v>
      </c>
      <c r="F46" s="40">
        <v>1</v>
      </c>
      <c r="H46" s="1"/>
      <c r="I46" s="1"/>
      <c r="K46" s="1"/>
      <c r="L46" s="1"/>
    </row>
    <row r="47" spans="5:12" x14ac:dyDescent="0.35">
      <c r="E47" s="41" t="s">
        <v>140</v>
      </c>
      <c r="F47" s="3">
        <v>1</v>
      </c>
      <c r="H47" s="1"/>
      <c r="I47" s="1"/>
      <c r="K47" s="1"/>
      <c r="L47" s="1"/>
    </row>
    <row r="48" spans="5:12" x14ac:dyDescent="0.35">
      <c r="E48" s="40" t="s">
        <v>158</v>
      </c>
      <c r="F48" s="40">
        <v>1</v>
      </c>
      <c r="H48" s="1"/>
      <c r="I48" s="1"/>
      <c r="K48" s="1"/>
      <c r="L48" s="1"/>
    </row>
    <row r="49" spans="5:12" x14ac:dyDescent="0.35">
      <c r="E49" s="41" t="s">
        <v>140</v>
      </c>
      <c r="F49" s="3">
        <v>1</v>
      </c>
      <c r="H49" s="1"/>
      <c r="I49" s="1"/>
      <c r="K49" s="1"/>
      <c r="L49" s="1"/>
    </row>
    <row r="50" spans="5:12" x14ac:dyDescent="0.35">
      <c r="E50" s="4" t="s">
        <v>51</v>
      </c>
      <c r="F50" s="4">
        <v>8</v>
      </c>
      <c r="H50" s="1"/>
      <c r="I50" s="1"/>
      <c r="K50" s="1"/>
      <c r="L50" s="1"/>
    </row>
    <row r="51" spans="5:12" x14ac:dyDescent="0.35">
      <c r="E51" s="1"/>
      <c r="F51" s="1"/>
      <c r="H51" s="1"/>
      <c r="I51" s="1"/>
      <c r="K51" s="1"/>
      <c r="L51" s="1"/>
    </row>
    <row r="52" spans="5:12" x14ac:dyDescent="0.35">
      <c r="E52" s="1"/>
      <c r="F52" s="1"/>
      <c r="H52" s="1"/>
      <c r="I52" s="1"/>
      <c r="K52" s="1"/>
      <c r="L52" s="1"/>
    </row>
    <row r="53" spans="5:12" x14ac:dyDescent="0.35">
      <c r="E53" s="1"/>
      <c r="F53" s="1"/>
      <c r="K53" s="1"/>
      <c r="L53" s="1"/>
    </row>
    <row r="54" spans="5:12" x14ac:dyDescent="0.35">
      <c r="E54" s="1"/>
      <c r="F54" s="1"/>
      <c r="H54" s="1"/>
      <c r="I54" s="1"/>
      <c r="K54" s="1"/>
      <c r="L54" s="1"/>
    </row>
    <row r="55" spans="5:12" x14ac:dyDescent="0.35">
      <c r="E55" s="2" t="s">
        <v>210</v>
      </c>
      <c r="F55" s="1"/>
      <c r="H55" s="1"/>
      <c r="I55" s="1"/>
      <c r="K55" s="1"/>
      <c r="L55" s="1"/>
    </row>
    <row r="56" spans="5:12" x14ac:dyDescent="0.35">
      <c r="E56" s="4" t="s">
        <v>28</v>
      </c>
      <c r="F56" s="4" t="s">
        <v>27</v>
      </c>
      <c r="H56" s="4" t="s">
        <v>76</v>
      </c>
      <c r="I56" s="4" t="s">
        <v>27</v>
      </c>
      <c r="K56" s="1"/>
      <c r="L56" s="1"/>
    </row>
    <row r="57" spans="5:12" x14ac:dyDescent="0.35">
      <c r="E57" s="3" t="s">
        <v>176</v>
      </c>
      <c r="F57" s="3">
        <v>1</v>
      </c>
      <c r="H57" s="3" t="s">
        <v>168</v>
      </c>
      <c r="I57" s="3">
        <v>1</v>
      </c>
      <c r="K57" s="1"/>
      <c r="L57" s="1"/>
    </row>
    <row r="58" spans="5:12" x14ac:dyDescent="0.35">
      <c r="E58" s="3" t="s">
        <v>39</v>
      </c>
      <c r="F58" s="3">
        <v>2</v>
      </c>
      <c r="H58" s="3" t="s">
        <v>211</v>
      </c>
      <c r="I58" s="3">
        <v>1</v>
      </c>
      <c r="K58" s="1"/>
      <c r="L58" s="1"/>
    </row>
    <row r="59" spans="5:12" x14ac:dyDescent="0.35">
      <c r="E59" s="3" t="s">
        <v>178</v>
      </c>
      <c r="F59" s="3">
        <v>2</v>
      </c>
      <c r="H59" s="3" t="s">
        <v>175</v>
      </c>
      <c r="I59" s="3">
        <v>5</v>
      </c>
      <c r="K59" s="1"/>
      <c r="L59" s="1"/>
    </row>
    <row r="60" spans="5:12" x14ac:dyDescent="0.35">
      <c r="E60" s="3" t="s">
        <v>42</v>
      </c>
      <c r="F60" s="3">
        <v>1</v>
      </c>
      <c r="H60" s="3" t="s">
        <v>177</v>
      </c>
      <c r="I60" s="3">
        <v>1</v>
      </c>
      <c r="K60" s="1"/>
      <c r="L60" s="1"/>
    </row>
    <row r="61" spans="5:12" x14ac:dyDescent="0.35">
      <c r="E61" s="3" t="s">
        <v>45</v>
      </c>
      <c r="F61" s="3">
        <v>1</v>
      </c>
      <c r="H61" s="4" t="s">
        <v>51</v>
      </c>
      <c r="I61" s="4">
        <v>8</v>
      </c>
      <c r="K61" s="1"/>
      <c r="L61" s="1"/>
    </row>
    <row r="62" spans="5:12" x14ac:dyDescent="0.35">
      <c r="E62" s="3" t="s">
        <v>49</v>
      </c>
      <c r="F62" s="3">
        <v>1</v>
      </c>
      <c r="H62" s="1"/>
      <c r="I62" s="1"/>
      <c r="K62" s="1"/>
      <c r="L62" s="1"/>
    </row>
    <row r="63" spans="5:12" x14ac:dyDescent="0.35">
      <c r="E63" s="4" t="s">
        <v>51</v>
      </c>
      <c r="F63" s="4">
        <v>8</v>
      </c>
      <c r="H63" s="1"/>
      <c r="I63" s="1"/>
      <c r="K63" s="1"/>
      <c r="L63" s="1"/>
    </row>
    <row r="64" spans="5:12" s="1" customFormat="1" x14ac:dyDescent="0.35"/>
    <row r="65" spans="5:5" s="1" customFormat="1" ht="15.5" x14ac:dyDescent="0.35">
      <c r="E65" s="48" t="s">
        <v>214</v>
      </c>
    </row>
    <row r="66" spans="5:5" s="1" customFormat="1" ht="15.5" x14ac:dyDescent="0.35">
      <c r="E66" s="49" t="s">
        <v>217</v>
      </c>
    </row>
    <row r="67" spans="5:5" s="1" customFormat="1" ht="31" x14ac:dyDescent="0.35">
      <c r="E67" s="51" t="s">
        <v>221</v>
      </c>
    </row>
    <row r="68" spans="5:5" s="1" customFormat="1" ht="46.5" x14ac:dyDescent="0.35">
      <c r="E68" s="51" t="s">
        <v>215</v>
      </c>
    </row>
    <row r="69" spans="5:5" s="1" customFormat="1" ht="31" x14ac:dyDescent="0.35">
      <c r="E69" s="51" t="s">
        <v>216</v>
      </c>
    </row>
    <row r="70" spans="5:5" s="1" customFormat="1" ht="15.5" x14ac:dyDescent="0.35">
      <c r="E70" s="49" t="s">
        <v>218</v>
      </c>
    </row>
    <row r="71" spans="5:5" s="1" customFormat="1" ht="15.5" x14ac:dyDescent="0.35">
      <c r="E71" s="50" t="s">
        <v>224</v>
      </c>
    </row>
    <row r="72" spans="5:5" s="1" customFormat="1" ht="15.5" x14ac:dyDescent="0.35">
      <c r="E72" s="50" t="s">
        <v>219</v>
      </c>
    </row>
    <row r="73" spans="5:5" s="1" customFormat="1" ht="15.5" x14ac:dyDescent="0.35">
      <c r="E73" s="50" t="s">
        <v>220</v>
      </c>
    </row>
    <row r="74" spans="5:5" s="1" customFormat="1" x14ac:dyDescent="0.35">
      <c r="E74" s="9" t="s">
        <v>222</v>
      </c>
    </row>
    <row r="75" spans="5:5" s="1" customFormat="1" ht="62" x14ac:dyDescent="0.35">
      <c r="E75" s="51" t="s">
        <v>223</v>
      </c>
    </row>
    <row r="76" spans="5:5" s="1" customFormat="1" x14ac:dyDescent="0.35"/>
    <row r="77" spans="5:5" s="1" customFormat="1" x14ac:dyDescent="0.35"/>
    <row r="78" spans="5:5" s="1" customFormat="1" x14ac:dyDescent="0.35"/>
    <row r="79" spans="5:5" s="1" customFormat="1" x14ac:dyDescent="0.35"/>
    <row r="80" spans="5:5" s="1" customFormat="1" x14ac:dyDescent="0.35"/>
    <row r="81" spans="5:12" s="1" customFormat="1" x14ac:dyDescent="0.35"/>
    <row r="82" spans="5:12" s="1" customFormat="1" x14ac:dyDescent="0.35"/>
    <row r="83" spans="5:12" s="1" customFormat="1" x14ac:dyDescent="0.35"/>
    <row r="84" spans="5:12" s="1" customFormat="1" x14ac:dyDescent="0.35"/>
    <row r="85" spans="5:12" s="1" customFormat="1" x14ac:dyDescent="0.35"/>
    <row r="86" spans="5:12" s="1" customFormat="1" x14ac:dyDescent="0.35"/>
    <row r="87" spans="5:12" x14ac:dyDescent="0.35">
      <c r="E87" s="1"/>
      <c r="F87" s="1"/>
      <c r="H87" s="1"/>
      <c r="I87" s="1"/>
      <c r="K87" s="1"/>
      <c r="L87" s="1"/>
    </row>
    <row r="88" spans="5:12" x14ac:dyDescent="0.35">
      <c r="E88" s="1"/>
      <c r="F88" s="1"/>
      <c r="H88" s="1"/>
      <c r="I88" s="1"/>
      <c r="K88" s="1"/>
      <c r="L88" s="1"/>
    </row>
    <row r="89" spans="5:12" x14ac:dyDescent="0.35">
      <c r="E89" s="1"/>
      <c r="F89" s="1"/>
      <c r="H89" s="1"/>
      <c r="I89" s="1"/>
      <c r="K89" s="1"/>
      <c r="L89" s="1"/>
    </row>
    <row r="90" spans="5:12" x14ac:dyDescent="0.35">
      <c r="E90" s="1"/>
      <c r="F90" s="1"/>
      <c r="H90" s="1"/>
      <c r="I90" s="1"/>
      <c r="K90" s="1"/>
      <c r="L90" s="1"/>
    </row>
    <row r="91" spans="5:12" x14ac:dyDescent="0.35">
      <c r="E91" s="1"/>
      <c r="F91" s="1"/>
      <c r="H91" s="1"/>
      <c r="I91" s="1"/>
      <c r="K91" s="1"/>
      <c r="L91" s="1"/>
    </row>
    <row r="92" spans="5:12" x14ac:dyDescent="0.35">
      <c r="E92" s="1"/>
      <c r="F92" s="1"/>
      <c r="H92" s="1"/>
      <c r="I92" s="1"/>
      <c r="K92" s="1"/>
      <c r="L92" s="1"/>
    </row>
    <row r="93" spans="5:12" x14ac:dyDescent="0.35">
      <c r="E93" s="1"/>
      <c r="F93" s="1"/>
      <c r="H93" s="1"/>
      <c r="I93" s="1"/>
      <c r="K93" s="1"/>
      <c r="L93" s="1"/>
    </row>
    <row r="94" spans="5:12" x14ac:dyDescent="0.35">
      <c r="E94" s="1"/>
      <c r="F94" s="1"/>
      <c r="H94" s="1"/>
      <c r="I94" s="1"/>
      <c r="K94" s="1"/>
      <c r="L94" s="1"/>
    </row>
    <row r="95" spans="5:12" x14ac:dyDescent="0.35">
      <c r="E95" s="1"/>
      <c r="F95" s="1"/>
      <c r="H95" s="1"/>
      <c r="I95" s="1"/>
      <c r="K95" s="1"/>
      <c r="L95" s="1"/>
    </row>
    <row r="96" spans="5:12" x14ac:dyDescent="0.35">
      <c r="E96" s="1"/>
      <c r="F96" s="1"/>
      <c r="H96" s="1"/>
      <c r="I96" s="1"/>
      <c r="K96" s="1"/>
      <c r="L96" s="1"/>
    </row>
    <row r="97" spans="5:12" x14ac:dyDescent="0.35">
      <c r="E97" s="1"/>
      <c r="F97" s="1"/>
      <c r="H97" s="1"/>
      <c r="I97" s="1"/>
      <c r="K97" s="1"/>
      <c r="L97" s="1"/>
    </row>
    <row r="98" spans="5:12" x14ac:dyDescent="0.35">
      <c r="E98" s="1"/>
      <c r="F98" s="1"/>
      <c r="H98" s="1"/>
      <c r="I98" s="1"/>
      <c r="K98" s="1"/>
      <c r="L98" s="1"/>
    </row>
    <row r="99" spans="5:12" x14ac:dyDescent="0.35">
      <c r="E99" s="1"/>
      <c r="F99" s="1"/>
      <c r="H99" s="1"/>
      <c r="I99" s="1"/>
      <c r="K99" s="1"/>
      <c r="L99" s="1"/>
    </row>
    <row r="100" spans="5:12" x14ac:dyDescent="0.35">
      <c r="E100" s="1"/>
      <c r="F100" s="1"/>
      <c r="H100" s="1"/>
      <c r="I100" s="1"/>
      <c r="K100" s="1"/>
      <c r="L100" s="1"/>
    </row>
    <row r="101" spans="5:12" x14ac:dyDescent="0.35">
      <c r="E101" s="1"/>
      <c r="F101" s="1"/>
      <c r="H101" s="1"/>
      <c r="I101" s="1"/>
      <c r="K101" s="1"/>
      <c r="L101" s="1"/>
    </row>
    <row r="102" spans="5:12" x14ac:dyDescent="0.35">
      <c r="E102" s="1"/>
      <c r="F102" s="1"/>
    </row>
    <row r="103" spans="5:12" x14ac:dyDescent="0.35">
      <c r="E103" s="1"/>
      <c r="F103" s="1"/>
    </row>
    <row r="104" spans="5:12" x14ac:dyDescent="0.35">
      <c r="E104" s="1"/>
      <c r="F104" s="1"/>
    </row>
    <row r="105" spans="5:12" x14ac:dyDescent="0.35">
      <c r="E105" s="1"/>
      <c r="F105" s="1"/>
    </row>
    <row r="106" spans="5:12" x14ac:dyDescent="0.35">
      <c r="E106" s="1"/>
      <c r="F106" s="1"/>
    </row>
    <row r="107" spans="5:12" x14ac:dyDescent="0.35">
      <c r="E107" s="1"/>
      <c r="F107" s="1"/>
    </row>
  </sheetData>
  <hyperlinks>
    <hyperlink ref="E75" r:id="rId1" xr:uid="{B25AA646-E97C-4DA1-86A6-650F4DFE0935}"/>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E0D51-D457-487F-9A0D-A69356A70E5B}">
  <dimension ref="A1:O54"/>
  <sheetViews>
    <sheetView workbookViewId="0">
      <selection activeCell="I24" sqref="I24:I31"/>
    </sheetView>
  </sheetViews>
  <sheetFormatPr defaultRowHeight="14.5" x14ac:dyDescent="0.35"/>
  <cols>
    <col min="1" max="1" width="83" style="1" bestFit="1" customWidth="1"/>
    <col min="2" max="2" width="8.7265625" style="1"/>
    <col min="3" max="3" width="34" style="1" customWidth="1"/>
    <col min="4" max="4" width="10.81640625" style="1" customWidth="1"/>
    <col min="5" max="5" width="8.7265625" style="1"/>
    <col min="6" max="6" width="23.36328125" style="1" customWidth="1"/>
    <col min="7" max="7" width="11.453125" style="1" customWidth="1"/>
    <col min="8" max="8" width="8.7265625" style="1"/>
    <col min="9" max="9" width="26.54296875" style="1" bestFit="1" customWidth="1"/>
    <col min="10" max="11" width="8.7265625" style="1"/>
    <col min="12" max="12" width="44.36328125" style="1" bestFit="1" customWidth="1"/>
    <col min="13" max="13" width="14.54296875" style="1" customWidth="1"/>
    <col min="14" max="14" width="48.08984375" style="1" bestFit="1" customWidth="1"/>
    <col min="15" max="16384" width="8.7265625" style="1"/>
  </cols>
  <sheetData>
    <row r="1" spans="1:13" x14ac:dyDescent="0.35">
      <c r="A1" s="58" t="s">
        <v>225</v>
      </c>
      <c r="C1" s="4" t="s">
        <v>107</v>
      </c>
      <c r="D1" s="4" t="s">
        <v>27</v>
      </c>
      <c r="F1" s="4" t="s">
        <v>106</v>
      </c>
      <c r="G1" s="4" t="s">
        <v>27</v>
      </c>
      <c r="I1" s="4" t="s">
        <v>106</v>
      </c>
      <c r="J1" s="4" t="s">
        <v>226</v>
      </c>
      <c r="L1" s="4" t="s">
        <v>107</v>
      </c>
      <c r="M1" s="4" t="s">
        <v>27</v>
      </c>
    </row>
    <row r="2" spans="1:13" x14ac:dyDescent="0.35">
      <c r="A2" s="59" t="s">
        <v>250</v>
      </c>
      <c r="C2" s="10" t="s">
        <v>30</v>
      </c>
      <c r="D2" s="10">
        <v>1</v>
      </c>
      <c r="F2" s="10" t="s">
        <v>108</v>
      </c>
      <c r="G2" s="10">
        <v>7</v>
      </c>
      <c r="I2" s="54" t="s">
        <v>110</v>
      </c>
      <c r="J2" s="54">
        <v>3</v>
      </c>
      <c r="L2" s="3" t="s">
        <v>30</v>
      </c>
      <c r="M2" s="3">
        <v>1</v>
      </c>
    </row>
    <row r="3" spans="1:13" x14ac:dyDescent="0.35">
      <c r="A3" s="60" t="s">
        <v>239</v>
      </c>
      <c r="C3" s="10" t="s">
        <v>38</v>
      </c>
      <c r="D3" s="10">
        <v>12</v>
      </c>
      <c r="F3" s="10" t="s">
        <v>110</v>
      </c>
      <c r="G3" s="10">
        <v>3</v>
      </c>
      <c r="I3" s="55" t="s">
        <v>38</v>
      </c>
      <c r="J3" s="10">
        <v>1</v>
      </c>
      <c r="L3" s="3" t="s">
        <v>38</v>
      </c>
      <c r="M3" s="3">
        <v>7</v>
      </c>
    </row>
    <row r="4" spans="1:13" x14ac:dyDescent="0.35">
      <c r="A4" s="60" t="s">
        <v>247</v>
      </c>
      <c r="C4" s="10" t="s">
        <v>112</v>
      </c>
      <c r="D4" s="10">
        <v>14</v>
      </c>
      <c r="F4" s="10" t="s">
        <v>113</v>
      </c>
      <c r="G4" s="10">
        <v>37</v>
      </c>
      <c r="I4" s="55" t="s">
        <v>41</v>
      </c>
      <c r="J4" s="10">
        <v>1</v>
      </c>
      <c r="L4" s="3" t="s">
        <v>112</v>
      </c>
      <c r="M4" s="3">
        <v>12</v>
      </c>
    </row>
    <row r="5" spans="1:13" ht="17" customHeight="1" x14ac:dyDescent="0.35">
      <c r="A5" s="60"/>
      <c r="C5" s="10" t="s">
        <v>115</v>
      </c>
      <c r="D5" s="10">
        <v>1</v>
      </c>
      <c r="F5" s="10" t="s">
        <v>116</v>
      </c>
      <c r="G5" s="10">
        <v>3</v>
      </c>
      <c r="I5" s="55" t="s">
        <v>48</v>
      </c>
      <c r="J5" s="10">
        <v>1</v>
      </c>
      <c r="L5" s="3" t="s">
        <v>115</v>
      </c>
      <c r="M5" s="3">
        <v>1</v>
      </c>
    </row>
    <row r="6" spans="1:13" ht="37.5" customHeight="1" x14ac:dyDescent="0.35">
      <c r="A6" s="59" t="s">
        <v>240</v>
      </c>
      <c r="C6" s="10" t="s">
        <v>117</v>
      </c>
      <c r="D6" s="10">
        <v>12</v>
      </c>
      <c r="F6" s="10" t="s">
        <v>118</v>
      </c>
      <c r="G6" s="10">
        <v>4</v>
      </c>
      <c r="I6" s="54" t="s">
        <v>116</v>
      </c>
      <c r="J6" s="54">
        <v>3</v>
      </c>
      <c r="L6" s="3" t="s">
        <v>117</v>
      </c>
      <c r="M6" s="3">
        <v>11</v>
      </c>
    </row>
    <row r="7" spans="1:13" x14ac:dyDescent="0.35">
      <c r="A7" s="59" t="s">
        <v>245</v>
      </c>
      <c r="C7" s="10" t="s">
        <v>41</v>
      </c>
      <c r="D7" s="10">
        <v>15</v>
      </c>
      <c r="F7" s="10" t="s">
        <v>120</v>
      </c>
      <c r="G7" s="10">
        <v>11</v>
      </c>
      <c r="I7" s="55" t="s">
        <v>38</v>
      </c>
      <c r="J7" s="10">
        <v>2</v>
      </c>
      <c r="L7" s="3" t="s">
        <v>41</v>
      </c>
      <c r="M7" s="3">
        <v>12</v>
      </c>
    </row>
    <row r="8" spans="1:13" ht="29" x14ac:dyDescent="0.35">
      <c r="A8" s="12" t="s">
        <v>244</v>
      </c>
      <c r="C8" s="10" t="s">
        <v>122</v>
      </c>
      <c r="D8" s="10">
        <v>1</v>
      </c>
      <c r="F8" s="10" t="s">
        <v>121</v>
      </c>
      <c r="G8" s="10">
        <v>8</v>
      </c>
      <c r="I8" s="55" t="s">
        <v>112</v>
      </c>
      <c r="J8" s="10">
        <v>1</v>
      </c>
      <c r="L8" s="3" t="s">
        <v>122</v>
      </c>
      <c r="M8" s="3">
        <v>1</v>
      </c>
    </row>
    <row r="9" spans="1:13" x14ac:dyDescent="0.35">
      <c r="C9" s="10" t="s">
        <v>44</v>
      </c>
      <c r="D9" s="10">
        <v>13</v>
      </c>
      <c r="F9" s="10" t="s">
        <v>123</v>
      </c>
      <c r="G9" s="10">
        <v>1</v>
      </c>
      <c r="I9" s="54" t="s">
        <v>120</v>
      </c>
      <c r="J9" s="54">
        <v>11</v>
      </c>
      <c r="L9" s="3" t="s">
        <v>44</v>
      </c>
      <c r="M9" s="3">
        <v>10</v>
      </c>
    </row>
    <row r="10" spans="1:13" x14ac:dyDescent="0.35">
      <c r="A10" s="59" t="s">
        <v>242</v>
      </c>
      <c r="C10" s="10" t="s">
        <v>48</v>
      </c>
      <c r="D10" s="10">
        <v>5</v>
      </c>
      <c r="F10" s="53" t="s">
        <v>51</v>
      </c>
      <c r="G10" s="53">
        <v>74</v>
      </c>
      <c r="I10" s="55" t="s">
        <v>38</v>
      </c>
      <c r="J10" s="10">
        <v>2</v>
      </c>
      <c r="L10" s="3" t="s">
        <v>48</v>
      </c>
      <c r="M10" s="3">
        <v>2</v>
      </c>
    </row>
    <row r="11" spans="1:13" x14ac:dyDescent="0.35">
      <c r="A11" s="59" t="s">
        <v>243</v>
      </c>
      <c r="C11" s="53" t="s">
        <v>51</v>
      </c>
      <c r="D11" s="53">
        <v>74</v>
      </c>
      <c r="I11" s="55" t="s">
        <v>112</v>
      </c>
      <c r="J11" s="10">
        <v>1</v>
      </c>
      <c r="L11" s="4" t="s">
        <v>51</v>
      </c>
      <c r="M11" s="4">
        <v>57</v>
      </c>
    </row>
    <row r="12" spans="1:13" x14ac:dyDescent="0.35">
      <c r="A12" s="59" t="s">
        <v>241</v>
      </c>
      <c r="I12" s="55" t="s">
        <v>117</v>
      </c>
      <c r="J12" s="10">
        <v>1</v>
      </c>
    </row>
    <row r="13" spans="1:13" x14ac:dyDescent="0.35">
      <c r="A13" s="60"/>
      <c r="C13" s="4" t="s">
        <v>227</v>
      </c>
      <c r="D13" s="4" t="s">
        <v>27</v>
      </c>
      <c r="F13" s="4" t="s">
        <v>238</v>
      </c>
      <c r="G13" s="4" t="s">
        <v>27</v>
      </c>
      <c r="I13" s="55" t="s">
        <v>41</v>
      </c>
      <c r="J13" s="10">
        <v>2</v>
      </c>
    </row>
    <row r="14" spans="1:13" x14ac:dyDescent="0.35">
      <c r="A14" s="12" t="s">
        <v>248</v>
      </c>
      <c r="C14" s="10" t="s">
        <v>86</v>
      </c>
      <c r="D14" s="10">
        <v>8</v>
      </c>
      <c r="F14" s="54" t="s">
        <v>137</v>
      </c>
      <c r="G14" s="54">
        <v>1</v>
      </c>
      <c r="I14" s="55" t="s">
        <v>44</v>
      </c>
      <c r="J14" s="10">
        <v>3</v>
      </c>
    </row>
    <row r="15" spans="1:13" x14ac:dyDescent="0.35">
      <c r="A15" s="12" t="s">
        <v>215</v>
      </c>
      <c r="C15" s="10" t="s">
        <v>131</v>
      </c>
      <c r="D15" s="10">
        <v>23</v>
      </c>
      <c r="F15" s="55" t="s">
        <v>154</v>
      </c>
      <c r="G15" s="10">
        <v>1</v>
      </c>
      <c r="I15" s="55" t="s">
        <v>48</v>
      </c>
      <c r="J15" s="10">
        <v>2</v>
      </c>
    </row>
    <row r="16" spans="1:13" x14ac:dyDescent="0.35">
      <c r="A16" s="12" t="s">
        <v>216</v>
      </c>
      <c r="C16" s="10" t="s">
        <v>80</v>
      </c>
      <c r="D16" s="10">
        <v>1</v>
      </c>
      <c r="F16" s="54" t="s">
        <v>131</v>
      </c>
      <c r="G16" s="54">
        <v>2</v>
      </c>
      <c r="I16" s="53" t="s">
        <v>51</v>
      </c>
      <c r="J16" s="53">
        <v>17</v>
      </c>
    </row>
    <row r="17" spans="1:15" x14ac:dyDescent="0.35">
      <c r="A17" s="12" t="s">
        <v>218</v>
      </c>
      <c r="C17" s="10" t="s">
        <v>141</v>
      </c>
      <c r="D17" s="10">
        <f>SUM(D14:D16)</f>
        <v>32</v>
      </c>
      <c r="F17" s="55" t="s">
        <v>150</v>
      </c>
      <c r="G17" s="10">
        <v>1</v>
      </c>
    </row>
    <row r="18" spans="1:15" x14ac:dyDescent="0.35">
      <c r="A18" s="12" t="s">
        <v>219</v>
      </c>
      <c r="C18" s="10" t="s">
        <v>228</v>
      </c>
      <c r="D18" s="10"/>
      <c r="F18" s="55" t="s">
        <v>157</v>
      </c>
      <c r="G18" s="10">
        <v>1</v>
      </c>
      <c r="I18" s="4" t="s">
        <v>143</v>
      </c>
      <c r="J18" s="4" t="s">
        <v>144</v>
      </c>
      <c r="K18" s="4" t="s">
        <v>145</v>
      </c>
      <c r="L18" s="4" t="s">
        <v>27</v>
      </c>
      <c r="N18" s="4" t="s">
        <v>246</v>
      </c>
      <c r="O18" s="4" t="s">
        <v>28</v>
      </c>
    </row>
    <row r="19" spans="1:15" x14ac:dyDescent="0.35">
      <c r="A19" s="12" t="s">
        <v>220</v>
      </c>
      <c r="C19" s="10" t="s">
        <v>136</v>
      </c>
      <c r="D19" s="10">
        <v>1</v>
      </c>
      <c r="F19" s="54" t="s">
        <v>140</v>
      </c>
      <c r="G19" s="54">
        <v>7</v>
      </c>
      <c r="I19" s="57" t="s">
        <v>147</v>
      </c>
      <c r="J19" s="45">
        <v>14934</v>
      </c>
      <c r="K19" s="45">
        <v>6592</v>
      </c>
      <c r="L19" s="45">
        <v>21526</v>
      </c>
      <c r="N19" s="3" t="s">
        <v>109</v>
      </c>
      <c r="O19" s="3">
        <v>2</v>
      </c>
    </row>
    <row r="20" spans="1:15" ht="29" x14ac:dyDescent="0.35">
      <c r="A20" s="12" t="s">
        <v>222</v>
      </c>
      <c r="C20" s="10" t="s">
        <v>137</v>
      </c>
      <c r="D20" s="10">
        <v>1</v>
      </c>
      <c r="F20" s="55" t="s">
        <v>148</v>
      </c>
      <c r="G20" s="10">
        <v>2</v>
      </c>
      <c r="I20" s="57" t="s">
        <v>149</v>
      </c>
      <c r="J20" s="45">
        <v>63</v>
      </c>
      <c r="K20" s="45">
        <v>22</v>
      </c>
      <c r="L20" s="45">
        <v>85</v>
      </c>
      <c r="N20" s="3" t="s">
        <v>111</v>
      </c>
      <c r="O20" s="3">
        <v>1</v>
      </c>
    </row>
    <row r="21" spans="1:15" ht="29" x14ac:dyDescent="0.35">
      <c r="A21" s="61" t="s">
        <v>249</v>
      </c>
      <c r="C21" s="10" t="s">
        <v>138</v>
      </c>
      <c r="D21" s="10">
        <v>7</v>
      </c>
      <c r="F21" s="55" t="s">
        <v>150</v>
      </c>
      <c r="G21" s="10">
        <v>1</v>
      </c>
      <c r="I21" s="57" t="s">
        <v>151</v>
      </c>
      <c r="J21" s="45">
        <v>302</v>
      </c>
      <c r="K21" s="45">
        <v>65</v>
      </c>
      <c r="L21" s="45">
        <v>367</v>
      </c>
      <c r="N21" s="3" t="s">
        <v>114</v>
      </c>
      <c r="O21" s="3">
        <v>2</v>
      </c>
    </row>
    <row r="22" spans="1:15" x14ac:dyDescent="0.35">
      <c r="C22" s="10" t="s">
        <v>139</v>
      </c>
      <c r="D22" s="10">
        <v>1</v>
      </c>
      <c r="F22" s="55" t="s">
        <v>152</v>
      </c>
      <c r="G22" s="10">
        <v>1</v>
      </c>
      <c r="I22" s="57" t="s">
        <v>153</v>
      </c>
      <c r="J22" s="45">
        <v>210</v>
      </c>
      <c r="K22" s="45">
        <v>36</v>
      </c>
      <c r="L22" s="45">
        <v>246</v>
      </c>
      <c r="N22" s="3" t="s">
        <v>31</v>
      </c>
      <c r="O22" s="3">
        <v>2</v>
      </c>
    </row>
    <row r="23" spans="1:15" x14ac:dyDescent="0.35">
      <c r="C23" s="10" t="s">
        <v>140</v>
      </c>
      <c r="D23" s="10">
        <v>15</v>
      </c>
      <c r="F23" s="55" t="s">
        <v>229</v>
      </c>
      <c r="G23" s="10">
        <v>1</v>
      </c>
      <c r="I23" s="57" t="s">
        <v>155</v>
      </c>
      <c r="J23" s="45">
        <v>205</v>
      </c>
      <c r="K23" s="45">
        <v>36</v>
      </c>
      <c r="L23" s="45">
        <v>241</v>
      </c>
      <c r="N23" s="3" t="s">
        <v>36</v>
      </c>
      <c r="O23" s="3">
        <v>5</v>
      </c>
    </row>
    <row r="24" spans="1:15" x14ac:dyDescent="0.35">
      <c r="C24" s="10" t="s">
        <v>141</v>
      </c>
      <c r="D24" s="10">
        <f>SUM(D19:D23)</f>
        <v>25</v>
      </c>
      <c r="F24" s="55" t="s">
        <v>212</v>
      </c>
      <c r="G24" s="10">
        <v>1</v>
      </c>
      <c r="I24" s="46" t="s">
        <v>198</v>
      </c>
      <c r="N24" s="3" t="s">
        <v>35</v>
      </c>
      <c r="O24" s="3">
        <v>5</v>
      </c>
    </row>
    <row r="25" spans="1:15" x14ac:dyDescent="0.35">
      <c r="C25" s="44" t="s">
        <v>232</v>
      </c>
      <c r="D25" s="56">
        <f>SUM(D17+D24)</f>
        <v>57</v>
      </c>
      <c r="F25" s="55" t="s">
        <v>158</v>
      </c>
      <c r="G25" s="10">
        <v>1</v>
      </c>
      <c r="I25" s="47" t="s">
        <v>199</v>
      </c>
      <c r="N25" s="3" t="s">
        <v>124</v>
      </c>
      <c r="O25" s="3">
        <v>2</v>
      </c>
    </row>
    <row r="26" spans="1:15" x14ac:dyDescent="0.35">
      <c r="F26" s="53" t="s">
        <v>51</v>
      </c>
      <c r="G26" s="53">
        <v>10</v>
      </c>
      <c r="I26" s="46" t="s">
        <v>200</v>
      </c>
      <c r="N26" s="3" t="s">
        <v>173</v>
      </c>
      <c r="O26" s="3">
        <v>1</v>
      </c>
    </row>
    <row r="27" spans="1:15" x14ac:dyDescent="0.35">
      <c r="C27" s="58" t="s">
        <v>231</v>
      </c>
      <c r="D27" s="58" t="s">
        <v>27</v>
      </c>
      <c r="I27" s="47" t="s">
        <v>201</v>
      </c>
      <c r="N27" s="3" t="s">
        <v>125</v>
      </c>
      <c r="O27" s="3">
        <v>2</v>
      </c>
    </row>
    <row r="28" spans="1:15" x14ac:dyDescent="0.35">
      <c r="C28" s="10" t="s">
        <v>86</v>
      </c>
      <c r="D28" s="9">
        <v>2</v>
      </c>
      <c r="F28" s="55" t="s">
        <v>233</v>
      </c>
      <c r="G28" s="10">
        <v>72</v>
      </c>
      <c r="I28" s="46" t="s">
        <v>202</v>
      </c>
      <c r="N28" s="3" t="s">
        <v>39</v>
      </c>
      <c r="O28" s="3">
        <v>8</v>
      </c>
    </row>
    <row r="29" spans="1:15" x14ac:dyDescent="0.35">
      <c r="C29" s="10" t="s">
        <v>230</v>
      </c>
      <c r="D29" s="9">
        <v>1</v>
      </c>
      <c r="F29" s="55" t="s">
        <v>235</v>
      </c>
      <c r="G29" s="10">
        <v>49</v>
      </c>
      <c r="I29" s="47" t="s">
        <v>203</v>
      </c>
      <c r="N29" s="3" t="s">
        <v>178</v>
      </c>
      <c r="O29" s="3">
        <v>1</v>
      </c>
    </row>
    <row r="30" spans="1:15" x14ac:dyDescent="0.35">
      <c r="C30" s="10" t="s">
        <v>136</v>
      </c>
      <c r="D30" s="9">
        <v>2</v>
      </c>
      <c r="F30" s="55" t="s">
        <v>234</v>
      </c>
      <c r="G30" s="10">
        <v>101</v>
      </c>
      <c r="I30" s="46" t="s">
        <v>204</v>
      </c>
      <c r="N30" s="3" t="s">
        <v>46</v>
      </c>
      <c r="O30" s="3">
        <v>3</v>
      </c>
    </row>
    <row r="31" spans="1:15" x14ac:dyDescent="0.35">
      <c r="C31" s="10" t="s">
        <v>131</v>
      </c>
      <c r="D31" s="9">
        <v>41</v>
      </c>
      <c r="I31" s="47" t="s">
        <v>205</v>
      </c>
      <c r="N31" s="3" t="s">
        <v>42</v>
      </c>
      <c r="O31" s="3">
        <v>6</v>
      </c>
    </row>
    <row r="32" spans="1:15" x14ac:dyDescent="0.35">
      <c r="C32" s="10" t="s">
        <v>138</v>
      </c>
      <c r="D32" s="9">
        <v>3</v>
      </c>
      <c r="N32" s="3" t="s">
        <v>45</v>
      </c>
      <c r="O32" s="3">
        <v>4</v>
      </c>
    </row>
    <row r="33" spans="1:15" x14ac:dyDescent="0.35">
      <c r="C33" s="10" t="s">
        <v>140</v>
      </c>
      <c r="D33" s="9">
        <v>23</v>
      </c>
      <c r="N33" s="3" t="s">
        <v>130</v>
      </c>
      <c r="O33" s="3">
        <v>1</v>
      </c>
    </row>
    <row r="34" spans="1:15" x14ac:dyDescent="0.35">
      <c r="C34" s="10" t="s">
        <v>51</v>
      </c>
      <c r="D34" s="9">
        <v>72</v>
      </c>
      <c r="N34" s="3" t="s">
        <v>49</v>
      </c>
      <c r="O34" s="3">
        <v>12</v>
      </c>
    </row>
    <row r="35" spans="1:15" x14ac:dyDescent="0.35">
      <c r="N35" s="4" t="s">
        <v>51</v>
      </c>
      <c r="O35" s="4">
        <v>57</v>
      </c>
    </row>
    <row r="37" spans="1:15" x14ac:dyDescent="0.35">
      <c r="A37" s="1" t="s">
        <v>236</v>
      </c>
    </row>
    <row r="38" spans="1:15" x14ac:dyDescent="0.35">
      <c r="A38" s="4" t="s">
        <v>57</v>
      </c>
      <c r="B38" s="4" t="s">
        <v>27</v>
      </c>
    </row>
    <row r="39" spans="1:15" x14ac:dyDescent="0.35">
      <c r="A39" s="40" t="s">
        <v>176</v>
      </c>
      <c r="B39" s="40">
        <v>2</v>
      </c>
    </row>
    <row r="40" spans="1:15" x14ac:dyDescent="0.35">
      <c r="A40" s="41" t="s">
        <v>175</v>
      </c>
      <c r="B40" s="3">
        <v>2</v>
      </c>
    </row>
    <row r="41" spans="1:15" x14ac:dyDescent="0.35">
      <c r="A41" s="40" t="s">
        <v>39</v>
      </c>
      <c r="B41" s="40">
        <v>1</v>
      </c>
    </row>
    <row r="42" spans="1:15" x14ac:dyDescent="0.35">
      <c r="A42" s="41" t="s">
        <v>168</v>
      </c>
      <c r="B42" s="3">
        <v>1</v>
      </c>
    </row>
    <row r="43" spans="1:15" x14ac:dyDescent="0.35">
      <c r="A43" s="40" t="s">
        <v>178</v>
      </c>
      <c r="B43" s="40">
        <v>2</v>
      </c>
    </row>
    <row r="44" spans="1:15" x14ac:dyDescent="0.35">
      <c r="A44" s="41" t="s">
        <v>211</v>
      </c>
      <c r="B44" s="3">
        <v>1</v>
      </c>
    </row>
    <row r="45" spans="1:15" x14ac:dyDescent="0.35">
      <c r="A45" s="41" t="s">
        <v>175</v>
      </c>
      <c r="B45" s="3">
        <v>1</v>
      </c>
    </row>
    <row r="46" spans="1:15" x14ac:dyDescent="0.35">
      <c r="A46" s="40" t="s">
        <v>42</v>
      </c>
      <c r="B46" s="40">
        <v>2</v>
      </c>
    </row>
    <row r="47" spans="1:15" x14ac:dyDescent="0.35">
      <c r="A47" s="41" t="s">
        <v>237</v>
      </c>
      <c r="B47" s="3">
        <v>1</v>
      </c>
    </row>
    <row r="48" spans="1:15" x14ac:dyDescent="0.35">
      <c r="A48" s="41" t="s">
        <v>175</v>
      </c>
      <c r="B48" s="3">
        <v>1</v>
      </c>
    </row>
    <row r="49" spans="1:2" x14ac:dyDescent="0.35">
      <c r="A49" s="40" t="s">
        <v>45</v>
      </c>
      <c r="B49" s="40">
        <v>1</v>
      </c>
    </row>
    <row r="50" spans="1:2" x14ac:dyDescent="0.35">
      <c r="A50" s="41" t="s">
        <v>175</v>
      </c>
      <c r="B50" s="3">
        <v>1</v>
      </c>
    </row>
    <row r="51" spans="1:2" x14ac:dyDescent="0.35">
      <c r="A51" s="40" t="s">
        <v>49</v>
      </c>
      <c r="B51" s="40">
        <v>3</v>
      </c>
    </row>
    <row r="52" spans="1:2" x14ac:dyDescent="0.35">
      <c r="A52" s="41" t="s">
        <v>169</v>
      </c>
      <c r="B52" s="3">
        <v>1</v>
      </c>
    </row>
    <row r="53" spans="1:2" x14ac:dyDescent="0.35">
      <c r="A53" s="41" t="s">
        <v>175</v>
      </c>
      <c r="B53" s="3">
        <v>2</v>
      </c>
    </row>
    <row r="54" spans="1:2" x14ac:dyDescent="0.35">
      <c r="A54" s="4" t="s">
        <v>51</v>
      </c>
      <c r="B54" s="4">
        <v>11</v>
      </c>
    </row>
  </sheetData>
  <hyperlinks>
    <hyperlink ref="A21" r:id="rId2" tooltip="https://criteriacorp.wistia.com/medias/r5mywfw878%20-%20the%20team%20took%20this%20up%20with%20additional%20brainstorming%20sessions%20on%20identifying%20fake%20candidates" display="https://criteriacorp.wistia.com/medias/r5mywfw878 - the team took this up with additional brainstorming sessions on identifying fake candidates" xr:uid="{7CF34469-561F-4494-84C6-E52E69065AE7}"/>
  </hyperlinks>
  <pageMargins left="0.7" right="0.7" top="0.75" bottom="0.75" header="0.3" footer="0.3"/>
  <pageSetup orientation="portrait"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F65A1-0721-45D7-9348-8985F228FB1D}">
  <dimension ref="A1:Q50"/>
  <sheetViews>
    <sheetView topLeftCell="A24" workbookViewId="0">
      <selection activeCell="A35" sqref="A35"/>
    </sheetView>
  </sheetViews>
  <sheetFormatPr defaultRowHeight="14.5" x14ac:dyDescent="0.35"/>
  <cols>
    <col min="1" max="1" width="83.1796875" style="1" bestFit="1" customWidth="1"/>
    <col min="2" max="2" width="4.6328125" style="1" customWidth="1"/>
    <col min="3" max="4" width="8.7265625" style="1" hidden="1" customWidth="1"/>
    <col min="5" max="5" width="43.08984375" style="1" bestFit="1" customWidth="1"/>
    <col min="6" max="7" width="8.7265625" style="1"/>
    <col min="8" max="8" width="17.1796875" style="1" bestFit="1" customWidth="1"/>
    <col min="9" max="9" width="12.1796875" style="1" customWidth="1"/>
    <col min="10" max="10" width="8.7265625" style="1"/>
    <col min="11" max="11" width="26.54296875" style="1" bestFit="1" customWidth="1"/>
    <col min="12" max="12" width="19.08984375" style="1" customWidth="1"/>
    <col min="13" max="13" width="10.26953125" style="1" bestFit="1" customWidth="1"/>
    <col min="14" max="14" width="25.1796875" style="1" bestFit="1" customWidth="1"/>
    <col min="15" max="16" width="8.7265625" style="1"/>
    <col min="17" max="17" width="22.453125" style="1" customWidth="1"/>
    <col min="18" max="16384" width="8.7265625" style="1"/>
  </cols>
  <sheetData>
    <row r="1" spans="1:17" x14ac:dyDescent="0.35">
      <c r="A1" s="67" t="s">
        <v>225</v>
      </c>
      <c r="E1" s="65" t="s">
        <v>277</v>
      </c>
      <c r="F1" s="65" t="s">
        <v>27</v>
      </c>
      <c r="H1" s="65" t="s">
        <v>278</v>
      </c>
      <c r="I1" s="65" t="s">
        <v>27</v>
      </c>
      <c r="K1" s="65" t="s">
        <v>279</v>
      </c>
      <c r="L1" s="65" t="s">
        <v>27</v>
      </c>
      <c r="N1" s="65" t="s">
        <v>26</v>
      </c>
      <c r="O1" s="65" t="s">
        <v>27</v>
      </c>
    </row>
    <row r="2" spans="1:17" x14ac:dyDescent="0.35">
      <c r="A2" s="63" t="s">
        <v>264</v>
      </c>
      <c r="E2" s="10" t="s">
        <v>30</v>
      </c>
      <c r="F2" s="10">
        <v>1</v>
      </c>
      <c r="H2" s="10" t="s">
        <v>108</v>
      </c>
      <c r="I2" s="10">
        <v>6</v>
      </c>
      <c r="K2" s="54" t="s">
        <v>110</v>
      </c>
      <c r="L2" s="54">
        <v>2</v>
      </c>
      <c r="N2" s="10" t="s">
        <v>30</v>
      </c>
      <c r="O2" s="10">
        <v>1</v>
      </c>
    </row>
    <row r="3" spans="1:17" x14ac:dyDescent="0.35">
      <c r="A3" s="63"/>
      <c r="E3" s="10" t="s">
        <v>38</v>
      </c>
      <c r="F3" s="10">
        <v>14</v>
      </c>
      <c r="H3" s="10" t="s">
        <v>110</v>
      </c>
      <c r="I3" s="10">
        <v>2</v>
      </c>
      <c r="K3" s="55" t="s">
        <v>44</v>
      </c>
      <c r="L3" s="10">
        <v>2</v>
      </c>
      <c r="N3" s="10" t="s">
        <v>38</v>
      </c>
      <c r="O3" s="10">
        <v>10</v>
      </c>
    </row>
    <row r="4" spans="1:17" x14ac:dyDescent="0.35">
      <c r="A4" s="68" t="s">
        <v>265</v>
      </c>
      <c r="E4" s="10" t="s">
        <v>112</v>
      </c>
      <c r="F4" s="10">
        <v>21</v>
      </c>
      <c r="H4" s="10" t="s">
        <v>113</v>
      </c>
      <c r="I4" s="10">
        <v>29</v>
      </c>
      <c r="K4" s="54" t="s">
        <v>116</v>
      </c>
      <c r="L4" s="54">
        <v>7</v>
      </c>
      <c r="N4" s="10" t="s">
        <v>112</v>
      </c>
      <c r="O4" s="10">
        <v>15</v>
      </c>
    </row>
    <row r="5" spans="1:17" x14ac:dyDescent="0.35">
      <c r="A5" s="63"/>
      <c r="E5" s="10" t="s">
        <v>117</v>
      </c>
      <c r="F5" s="10">
        <v>15</v>
      </c>
      <c r="H5" s="10" t="s">
        <v>116</v>
      </c>
      <c r="I5" s="10">
        <v>7</v>
      </c>
      <c r="K5" s="55" t="s">
        <v>112</v>
      </c>
      <c r="L5" s="10">
        <v>2</v>
      </c>
      <c r="N5" s="10" t="s">
        <v>117</v>
      </c>
      <c r="O5" s="10">
        <v>10</v>
      </c>
    </row>
    <row r="6" spans="1:17" x14ac:dyDescent="0.35">
      <c r="A6" s="68" t="s">
        <v>283</v>
      </c>
      <c r="E6" s="10" t="s">
        <v>41</v>
      </c>
      <c r="F6" s="10">
        <v>15</v>
      </c>
      <c r="H6" s="10" t="s">
        <v>118</v>
      </c>
      <c r="I6" s="10">
        <v>10</v>
      </c>
      <c r="K6" s="55" t="s">
        <v>117</v>
      </c>
      <c r="L6" s="10">
        <v>1</v>
      </c>
      <c r="N6" s="10" t="s">
        <v>41</v>
      </c>
      <c r="O6" s="10">
        <v>10</v>
      </c>
    </row>
    <row r="7" spans="1:17" x14ac:dyDescent="0.35">
      <c r="A7" s="63"/>
      <c r="E7" s="10" t="s">
        <v>122</v>
      </c>
      <c r="F7" s="10">
        <v>1</v>
      </c>
      <c r="H7" s="10" t="s">
        <v>120</v>
      </c>
      <c r="I7" s="10">
        <v>16</v>
      </c>
      <c r="K7" s="55" t="s">
        <v>41</v>
      </c>
      <c r="L7" s="10">
        <v>3</v>
      </c>
      <c r="N7" s="10" t="s">
        <v>122</v>
      </c>
      <c r="O7" s="10">
        <v>1</v>
      </c>
    </row>
    <row r="8" spans="1:17" x14ac:dyDescent="0.35">
      <c r="A8" s="68" t="s">
        <v>266</v>
      </c>
      <c r="E8" s="10" t="s">
        <v>44</v>
      </c>
      <c r="F8" s="10">
        <v>11</v>
      </c>
      <c r="H8" s="10" t="s">
        <v>121</v>
      </c>
      <c r="I8" s="10">
        <v>9</v>
      </c>
      <c r="K8" s="55" t="s">
        <v>44</v>
      </c>
      <c r="L8" s="10">
        <v>1</v>
      </c>
      <c r="N8" s="10" t="s">
        <v>44</v>
      </c>
      <c r="O8" s="10">
        <v>7</v>
      </c>
    </row>
    <row r="9" spans="1:17" x14ac:dyDescent="0.35">
      <c r="A9" s="63"/>
      <c r="E9" s="10" t="s">
        <v>48</v>
      </c>
      <c r="F9" s="10">
        <v>2</v>
      </c>
      <c r="H9" s="10" t="s">
        <v>123</v>
      </c>
      <c r="I9" s="10">
        <v>1</v>
      </c>
      <c r="K9" s="54" t="s">
        <v>120</v>
      </c>
      <c r="L9" s="54">
        <v>16</v>
      </c>
      <c r="N9" s="10" t="s">
        <v>48</v>
      </c>
      <c r="O9" s="10">
        <v>1</v>
      </c>
    </row>
    <row r="10" spans="1:17" x14ac:dyDescent="0.35">
      <c r="A10" s="68" t="s">
        <v>267</v>
      </c>
      <c r="E10" s="65" t="s">
        <v>51</v>
      </c>
      <c r="F10" s="65">
        <v>80</v>
      </c>
      <c r="H10" s="65" t="s">
        <v>51</v>
      </c>
      <c r="I10" s="65">
        <v>80</v>
      </c>
      <c r="K10" s="55" t="s">
        <v>38</v>
      </c>
      <c r="L10" s="10">
        <v>4</v>
      </c>
      <c r="N10" s="65" t="s">
        <v>51</v>
      </c>
      <c r="O10" s="65">
        <v>55</v>
      </c>
    </row>
    <row r="11" spans="1:17" x14ac:dyDescent="0.35">
      <c r="A11" s="63"/>
      <c r="K11" s="55" t="s">
        <v>112</v>
      </c>
      <c r="L11" s="10">
        <v>4</v>
      </c>
    </row>
    <row r="12" spans="1:17" x14ac:dyDescent="0.35">
      <c r="A12" s="63" t="s">
        <v>276</v>
      </c>
      <c r="E12" s="65" t="s">
        <v>280</v>
      </c>
      <c r="F12" s="65" t="s">
        <v>27</v>
      </c>
      <c r="K12" s="55" t="s">
        <v>117</v>
      </c>
      <c r="L12" s="10">
        <v>4</v>
      </c>
    </row>
    <row r="13" spans="1:17" x14ac:dyDescent="0.35">
      <c r="A13" s="22"/>
      <c r="E13" s="10" t="s">
        <v>86</v>
      </c>
      <c r="F13" s="10">
        <v>8</v>
      </c>
      <c r="H13" s="55" t="s">
        <v>233</v>
      </c>
      <c r="I13" s="10">
        <v>92</v>
      </c>
      <c r="K13" s="55" t="s">
        <v>41</v>
      </c>
      <c r="L13" s="10">
        <v>2</v>
      </c>
    </row>
    <row r="14" spans="1:17" ht="32.5" customHeight="1" x14ac:dyDescent="0.35">
      <c r="A14" s="21" t="s">
        <v>268</v>
      </c>
      <c r="E14" s="10" t="s">
        <v>136</v>
      </c>
      <c r="F14" s="10">
        <v>1</v>
      </c>
      <c r="H14" s="55" t="s">
        <v>235</v>
      </c>
      <c r="I14" s="10">
        <v>53</v>
      </c>
      <c r="K14" s="55" t="s">
        <v>44</v>
      </c>
      <c r="L14" s="10">
        <v>1</v>
      </c>
      <c r="N14" s="69" t="s">
        <v>143</v>
      </c>
      <c r="O14" s="69" t="s">
        <v>144</v>
      </c>
      <c r="P14" s="69" t="s">
        <v>145</v>
      </c>
      <c r="Q14" s="69" t="s">
        <v>256</v>
      </c>
    </row>
    <row r="15" spans="1:17" x14ac:dyDescent="0.35">
      <c r="A15" s="22"/>
      <c r="E15" s="10" t="s">
        <v>137</v>
      </c>
      <c r="F15" s="10">
        <v>1</v>
      </c>
      <c r="H15" s="55" t="s">
        <v>234</v>
      </c>
      <c r="I15" s="10">
        <v>100</v>
      </c>
      <c r="K15" s="55" t="s">
        <v>48</v>
      </c>
      <c r="L15" s="10">
        <v>1</v>
      </c>
      <c r="N15" s="32" t="s">
        <v>147</v>
      </c>
      <c r="O15" s="64">
        <v>14585</v>
      </c>
      <c r="P15" s="64">
        <v>12538</v>
      </c>
      <c r="Q15" s="64">
        <v>27123</v>
      </c>
    </row>
    <row r="16" spans="1:17" ht="29" x14ac:dyDescent="0.35">
      <c r="A16" s="21" t="s">
        <v>269</v>
      </c>
      <c r="E16" s="10" t="s">
        <v>131</v>
      </c>
      <c r="F16" s="10">
        <v>21</v>
      </c>
      <c r="K16" s="65" t="s">
        <v>51</v>
      </c>
      <c r="L16" s="65">
        <v>25</v>
      </c>
      <c r="N16" s="32" t="s">
        <v>149</v>
      </c>
      <c r="O16" s="64">
        <v>63</v>
      </c>
      <c r="P16" s="64">
        <v>42</v>
      </c>
      <c r="Q16" s="64">
        <v>105</v>
      </c>
    </row>
    <row r="17" spans="1:17" ht="29" x14ac:dyDescent="0.35">
      <c r="A17" s="22"/>
      <c r="E17" s="10" t="s">
        <v>138</v>
      </c>
      <c r="F17" s="10">
        <v>2</v>
      </c>
      <c r="N17" s="32" t="s">
        <v>151</v>
      </c>
      <c r="O17" s="64">
        <v>303</v>
      </c>
      <c r="P17" s="64">
        <v>145</v>
      </c>
      <c r="Q17" s="64">
        <v>448</v>
      </c>
    </row>
    <row r="18" spans="1:17" x14ac:dyDescent="0.35">
      <c r="A18" s="21" t="s">
        <v>270</v>
      </c>
      <c r="E18" s="10" t="s">
        <v>139</v>
      </c>
      <c r="F18" s="10">
        <v>1</v>
      </c>
      <c r="N18" s="32" t="s">
        <v>153</v>
      </c>
      <c r="O18" s="64">
        <v>211</v>
      </c>
      <c r="P18" s="64">
        <v>108</v>
      </c>
      <c r="Q18" s="64">
        <v>319</v>
      </c>
    </row>
    <row r="19" spans="1:17" x14ac:dyDescent="0.35">
      <c r="A19" s="63"/>
      <c r="E19" s="10" t="s">
        <v>140</v>
      </c>
      <c r="F19" s="10">
        <v>21</v>
      </c>
      <c r="N19" s="32" t="s">
        <v>155</v>
      </c>
      <c r="O19" s="64">
        <v>208</v>
      </c>
      <c r="P19" s="64">
        <v>107</v>
      </c>
      <c r="Q19" s="64">
        <v>315</v>
      </c>
    </row>
    <row r="20" spans="1:17" x14ac:dyDescent="0.35">
      <c r="A20" s="68" t="s">
        <v>271</v>
      </c>
      <c r="E20" s="65" t="s">
        <v>51</v>
      </c>
      <c r="F20" s="65">
        <v>55</v>
      </c>
      <c r="N20" t="s">
        <v>260</v>
      </c>
    </row>
    <row r="21" spans="1:17" x14ac:dyDescent="0.35">
      <c r="A21" s="63"/>
      <c r="N21" t="s">
        <v>261</v>
      </c>
    </row>
    <row r="22" spans="1:17" x14ac:dyDescent="0.35">
      <c r="A22" s="68" t="s">
        <v>272</v>
      </c>
      <c r="N22" t="s">
        <v>262</v>
      </c>
    </row>
    <row r="23" spans="1:17" x14ac:dyDescent="0.35">
      <c r="A23" s="63"/>
      <c r="E23" s="65" t="s">
        <v>281</v>
      </c>
      <c r="F23" s="65" t="s">
        <v>136</v>
      </c>
      <c r="G23" s="65" t="s">
        <v>131</v>
      </c>
      <c r="H23" s="65" t="s">
        <v>140</v>
      </c>
      <c r="I23" s="65" t="s">
        <v>141</v>
      </c>
      <c r="K23" s="70" t="s">
        <v>282</v>
      </c>
      <c r="L23" s="70" t="s">
        <v>27</v>
      </c>
      <c r="N23" t="s">
        <v>263</v>
      </c>
    </row>
    <row r="24" spans="1:17" x14ac:dyDescent="0.35">
      <c r="A24" s="68" t="s">
        <v>273</v>
      </c>
      <c r="E24" s="10" t="s">
        <v>148</v>
      </c>
      <c r="F24" s="10"/>
      <c r="G24" s="10"/>
      <c r="H24" s="10">
        <v>4</v>
      </c>
      <c r="I24" s="10">
        <v>4</v>
      </c>
      <c r="K24" s="10" t="s">
        <v>109</v>
      </c>
      <c r="L24" s="9">
        <v>1</v>
      </c>
    </row>
    <row r="25" spans="1:17" x14ac:dyDescent="0.35">
      <c r="A25" s="63"/>
      <c r="E25" s="10" t="s">
        <v>150</v>
      </c>
      <c r="F25" s="10"/>
      <c r="G25" s="10">
        <v>1</v>
      </c>
      <c r="H25" s="10">
        <v>1</v>
      </c>
      <c r="I25" s="10">
        <v>2</v>
      </c>
      <c r="K25" s="10" t="s">
        <v>114</v>
      </c>
      <c r="L25" s="9">
        <v>3</v>
      </c>
    </row>
    <row r="26" spans="1:17" x14ac:dyDescent="0.35">
      <c r="A26" s="68" t="s">
        <v>284</v>
      </c>
      <c r="E26" s="10" t="s">
        <v>152</v>
      </c>
      <c r="F26" s="10"/>
      <c r="G26" s="10"/>
      <c r="H26" s="10">
        <v>1</v>
      </c>
      <c r="I26" s="10">
        <v>1</v>
      </c>
      <c r="K26" s="10" t="s">
        <v>31</v>
      </c>
      <c r="L26" s="9">
        <v>1</v>
      </c>
    </row>
    <row r="27" spans="1:17" x14ac:dyDescent="0.35">
      <c r="A27" s="63"/>
      <c r="E27" s="10" t="s">
        <v>251</v>
      </c>
      <c r="F27" s="10">
        <v>1</v>
      </c>
      <c r="G27" s="10"/>
      <c r="H27" s="10"/>
      <c r="I27" s="10">
        <v>1</v>
      </c>
      <c r="K27" s="10" t="s">
        <v>35</v>
      </c>
      <c r="L27" s="9">
        <v>2</v>
      </c>
    </row>
    <row r="28" spans="1:17" x14ac:dyDescent="0.35">
      <c r="A28" s="68" t="s">
        <v>274</v>
      </c>
      <c r="E28" s="10" t="s">
        <v>212</v>
      </c>
      <c r="F28" s="10"/>
      <c r="G28" s="10"/>
      <c r="H28" s="10">
        <v>1</v>
      </c>
      <c r="I28" s="10">
        <v>1</v>
      </c>
      <c r="K28" s="10" t="s">
        <v>124</v>
      </c>
      <c r="L28" s="9">
        <v>1</v>
      </c>
    </row>
    <row r="29" spans="1:17" x14ac:dyDescent="0.35">
      <c r="A29" s="63"/>
      <c r="E29" s="10" t="s">
        <v>252</v>
      </c>
      <c r="F29" s="10"/>
      <c r="G29" s="10"/>
      <c r="H29" s="10">
        <v>1</v>
      </c>
      <c r="I29" s="10">
        <v>1</v>
      </c>
      <c r="K29" s="10" t="s">
        <v>173</v>
      </c>
      <c r="L29" s="9">
        <v>1</v>
      </c>
    </row>
    <row r="30" spans="1:17" x14ac:dyDescent="0.35">
      <c r="A30" s="68" t="s">
        <v>285</v>
      </c>
      <c r="E30" s="10" t="s">
        <v>253</v>
      </c>
      <c r="F30" s="10"/>
      <c r="G30" s="10"/>
      <c r="H30" s="10">
        <v>1</v>
      </c>
      <c r="I30" s="10">
        <v>1</v>
      </c>
      <c r="K30" s="10" t="s">
        <v>125</v>
      </c>
      <c r="L30" s="9">
        <v>2</v>
      </c>
    </row>
    <row r="31" spans="1:17" x14ac:dyDescent="0.35">
      <c r="A31" s="63"/>
      <c r="E31" s="10" t="s">
        <v>254</v>
      </c>
      <c r="F31" s="10"/>
      <c r="G31" s="10"/>
      <c r="H31" s="10">
        <v>1</v>
      </c>
      <c r="I31" s="10">
        <v>1</v>
      </c>
      <c r="K31" s="10" t="s">
        <v>176</v>
      </c>
      <c r="L31" s="9">
        <v>1</v>
      </c>
    </row>
    <row r="32" spans="1:17" x14ac:dyDescent="0.35">
      <c r="A32" s="68" t="s">
        <v>275</v>
      </c>
      <c r="E32" s="65" t="s">
        <v>51</v>
      </c>
      <c r="F32" s="65">
        <v>1</v>
      </c>
      <c r="G32" s="65">
        <v>1</v>
      </c>
      <c r="H32" s="65">
        <v>10</v>
      </c>
      <c r="I32" s="65">
        <v>12</v>
      </c>
      <c r="K32" s="10" t="s">
        <v>39</v>
      </c>
      <c r="L32" s="9">
        <v>10</v>
      </c>
    </row>
    <row r="33" spans="5:13" x14ac:dyDescent="0.35">
      <c r="K33" s="10" t="s">
        <v>255</v>
      </c>
      <c r="L33" s="9">
        <v>1</v>
      </c>
    </row>
    <row r="34" spans="5:13" x14ac:dyDescent="0.35">
      <c r="K34" s="10" t="s">
        <v>178</v>
      </c>
      <c r="L34" s="9">
        <v>3</v>
      </c>
    </row>
    <row r="35" spans="5:13" x14ac:dyDescent="0.35">
      <c r="E35" s="1" t="s">
        <v>257</v>
      </c>
      <c r="K35" s="10" t="s">
        <v>46</v>
      </c>
      <c r="L35" s="9">
        <v>3</v>
      </c>
    </row>
    <row r="36" spans="5:13" x14ac:dyDescent="0.35">
      <c r="E36" s="62" t="s">
        <v>259</v>
      </c>
      <c r="F36" s="62" t="s">
        <v>27</v>
      </c>
      <c r="K36" s="10" t="s">
        <v>42</v>
      </c>
      <c r="L36" s="9">
        <v>3</v>
      </c>
    </row>
    <row r="37" spans="5:13" x14ac:dyDescent="0.35">
      <c r="E37" s="40" t="s">
        <v>258</v>
      </c>
      <c r="F37" s="66">
        <v>1</v>
      </c>
      <c r="K37" s="10" t="s">
        <v>45</v>
      </c>
      <c r="L37" s="9">
        <v>5</v>
      </c>
    </row>
    <row r="38" spans="5:13" x14ac:dyDescent="0.35">
      <c r="E38" s="41" t="s">
        <v>130</v>
      </c>
      <c r="F38" s="63">
        <v>1</v>
      </c>
      <c r="K38" s="10" t="s">
        <v>130</v>
      </c>
      <c r="L38" s="9">
        <v>1</v>
      </c>
    </row>
    <row r="39" spans="5:13" x14ac:dyDescent="0.35">
      <c r="E39" s="40" t="s">
        <v>169</v>
      </c>
      <c r="F39" s="66">
        <v>5</v>
      </c>
      <c r="K39" s="10" t="s">
        <v>49</v>
      </c>
      <c r="L39" s="9">
        <v>17</v>
      </c>
    </row>
    <row r="40" spans="5:13" x14ac:dyDescent="0.35">
      <c r="E40" s="41" t="s">
        <v>36</v>
      </c>
      <c r="F40" s="63">
        <v>2</v>
      </c>
      <c r="K40" s="65" t="s">
        <v>51</v>
      </c>
      <c r="L40" s="70">
        <v>55</v>
      </c>
    </row>
    <row r="41" spans="5:13" x14ac:dyDescent="0.35">
      <c r="E41" s="41" t="s">
        <v>45</v>
      </c>
      <c r="F41" s="63">
        <v>2</v>
      </c>
    </row>
    <row r="42" spans="5:13" x14ac:dyDescent="0.35">
      <c r="E42" s="41" t="s">
        <v>49</v>
      </c>
      <c r="F42" s="63">
        <v>1</v>
      </c>
    </row>
    <row r="43" spans="5:13" x14ac:dyDescent="0.35">
      <c r="E43" s="40" t="s">
        <v>237</v>
      </c>
      <c r="F43" s="66">
        <v>1</v>
      </c>
      <c r="H43" s="63" t="s">
        <v>286</v>
      </c>
      <c r="I43" s="63" t="s">
        <v>287</v>
      </c>
      <c r="J43" s="63" t="s">
        <v>288</v>
      </c>
      <c r="K43" s="63" t="s">
        <v>289</v>
      </c>
      <c r="L43" s="63" t="s">
        <v>290</v>
      </c>
      <c r="M43" s="63" t="s">
        <v>76</v>
      </c>
    </row>
    <row r="44" spans="5:13" x14ac:dyDescent="0.35">
      <c r="E44" s="41" t="s">
        <v>36</v>
      </c>
      <c r="F44" s="63">
        <v>1</v>
      </c>
      <c r="H44" s="28">
        <v>1</v>
      </c>
      <c r="I44" s="71" t="s">
        <v>66</v>
      </c>
      <c r="J44" s="71">
        <v>54856</v>
      </c>
      <c r="K44" s="71" t="s">
        <v>291</v>
      </c>
      <c r="L44" s="28" t="s">
        <v>292</v>
      </c>
      <c r="M44" s="71" t="s">
        <v>293</v>
      </c>
    </row>
    <row r="45" spans="5:13" x14ac:dyDescent="0.35">
      <c r="E45" s="40" t="s">
        <v>175</v>
      </c>
      <c r="F45" s="66">
        <v>3</v>
      </c>
      <c r="H45" s="28">
        <v>2</v>
      </c>
      <c r="I45" s="71" t="s">
        <v>294</v>
      </c>
      <c r="J45" s="71">
        <v>54888</v>
      </c>
      <c r="K45" s="71" t="s">
        <v>295</v>
      </c>
      <c r="L45" s="28" t="s">
        <v>292</v>
      </c>
      <c r="M45" s="71" t="s">
        <v>296</v>
      </c>
    </row>
    <row r="46" spans="5:13" x14ac:dyDescent="0.35">
      <c r="E46" s="41" t="s">
        <v>176</v>
      </c>
      <c r="F46" s="63">
        <v>2</v>
      </c>
      <c r="H46" s="28">
        <v>3</v>
      </c>
      <c r="I46" s="28" t="s">
        <v>294</v>
      </c>
      <c r="J46" s="28">
        <v>54595</v>
      </c>
      <c r="K46" s="28" t="s">
        <v>297</v>
      </c>
      <c r="L46" s="28" t="s">
        <v>292</v>
      </c>
      <c r="M46" s="28" t="s">
        <v>298</v>
      </c>
    </row>
    <row r="47" spans="5:13" x14ac:dyDescent="0.35">
      <c r="E47" s="41" t="s">
        <v>49</v>
      </c>
      <c r="F47" s="63">
        <v>1</v>
      </c>
      <c r="H47" s="28">
        <v>4</v>
      </c>
      <c r="I47" s="28" t="s">
        <v>66</v>
      </c>
      <c r="J47" s="28">
        <v>54861</v>
      </c>
      <c r="K47" s="28" t="s">
        <v>299</v>
      </c>
      <c r="L47" s="28" t="s">
        <v>311</v>
      </c>
      <c r="M47" s="28" t="s">
        <v>301</v>
      </c>
    </row>
    <row r="48" spans="5:13" x14ac:dyDescent="0.35">
      <c r="E48" s="4" t="s">
        <v>51</v>
      </c>
      <c r="F48" s="62">
        <v>10</v>
      </c>
      <c r="H48" s="3">
        <v>5</v>
      </c>
      <c r="I48" s="3" t="s">
        <v>294</v>
      </c>
      <c r="J48" s="3">
        <v>54842</v>
      </c>
      <c r="K48" s="3" t="s">
        <v>302</v>
      </c>
      <c r="L48" s="3" t="s">
        <v>303</v>
      </c>
      <c r="M48" s="3" t="s">
        <v>304</v>
      </c>
    </row>
    <row r="49" spans="8:13" ht="29" x14ac:dyDescent="0.35">
      <c r="H49" s="3">
        <v>6</v>
      </c>
      <c r="I49" s="72" t="s">
        <v>305</v>
      </c>
      <c r="J49" s="3">
        <v>54924</v>
      </c>
      <c r="K49" s="3" t="s">
        <v>306</v>
      </c>
      <c r="L49" s="3" t="s">
        <v>300</v>
      </c>
      <c r="M49" s="3" t="s">
        <v>307</v>
      </c>
    </row>
    <row r="50" spans="8:13" ht="43.5" x14ac:dyDescent="0.35">
      <c r="H50" s="73">
        <v>7</v>
      </c>
      <c r="I50" s="73" t="s">
        <v>66</v>
      </c>
      <c r="J50" s="73">
        <v>54898</v>
      </c>
      <c r="K50" s="73" t="s">
        <v>308</v>
      </c>
      <c r="L50" s="73" t="s">
        <v>309</v>
      </c>
      <c r="M50" s="73" t="s">
        <v>310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30063-4247-48E7-9310-FFCE3F19989B}">
  <dimension ref="A1:M55"/>
  <sheetViews>
    <sheetView topLeftCell="A7" zoomScale="59" workbookViewId="0">
      <selection activeCell="A18" sqref="A18"/>
    </sheetView>
  </sheetViews>
  <sheetFormatPr defaultRowHeight="14.5" x14ac:dyDescent="0.35"/>
  <cols>
    <col min="1" max="1" width="49" style="1" bestFit="1" customWidth="1"/>
    <col min="2" max="2" width="8.7265625" style="1"/>
    <col min="3" max="3" width="33.453125" style="1" customWidth="1"/>
    <col min="4" max="4" width="10.453125" style="1" customWidth="1"/>
    <col min="5" max="5" width="8.7265625" style="1"/>
    <col min="6" max="6" width="48.08984375" style="1" bestFit="1" customWidth="1"/>
    <col min="7" max="7" width="9.6328125" style="1" customWidth="1"/>
    <col min="8" max="8" width="8.7265625" style="1"/>
    <col min="9" max="9" width="35.36328125" style="1" bestFit="1" customWidth="1"/>
    <col min="10" max="10" width="17.36328125" style="1" bestFit="1" customWidth="1"/>
    <col min="11" max="11" width="8.7265625" style="1"/>
    <col min="12" max="12" width="13.26953125" style="1" bestFit="1" customWidth="1"/>
    <col min="13" max="16384" width="8.7265625" style="1"/>
  </cols>
  <sheetData>
    <row r="1" spans="1:13" x14ac:dyDescent="0.35">
      <c r="A1" s="67" t="s">
        <v>225</v>
      </c>
      <c r="C1" s="65" t="s">
        <v>312</v>
      </c>
      <c r="D1" s="65" t="s">
        <v>27</v>
      </c>
      <c r="F1" s="70" t="s">
        <v>313</v>
      </c>
      <c r="G1" s="70" t="s">
        <v>27</v>
      </c>
      <c r="I1" s="65" t="s">
        <v>314</v>
      </c>
      <c r="J1" s="65" t="s">
        <v>27</v>
      </c>
      <c r="K1" s="53"/>
      <c r="L1" s="53"/>
      <c r="M1" s="53"/>
    </row>
    <row r="2" spans="1:13" ht="58" x14ac:dyDescent="0.35">
      <c r="A2" s="74" t="s">
        <v>333</v>
      </c>
      <c r="C2" s="10" t="s">
        <v>30</v>
      </c>
      <c r="D2" s="10">
        <v>1</v>
      </c>
      <c r="F2" s="10" t="s">
        <v>108</v>
      </c>
      <c r="G2" s="10">
        <v>5</v>
      </c>
      <c r="I2" s="65" t="s">
        <v>107</v>
      </c>
      <c r="J2" s="65" t="s">
        <v>110</v>
      </c>
      <c r="K2" s="65" t="s">
        <v>116</v>
      </c>
      <c r="L2" s="65" t="s">
        <v>120</v>
      </c>
      <c r="M2" s="65" t="s">
        <v>141</v>
      </c>
    </row>
    <row r="3" spans="1:13" ht="50.5" customHeight="1" x14ac:dyDescent="0.35">
      <c r="A3" s="74" t="s">
        <v>335</v>
      </c>
      <c r="C3" s="10" t="s">
        <v>38</v>
      </c>
      <c r="D3" s="10">
        <v>14</v>
      </c>
      <c r="F3" s="10" t="s">
        <v>110</v>
      </c>
      <c r="G3" s="10">
        <v>5</v>
      </c>
      <c r="I3" s="10" t="s">
        <v>38</v>
      </c>
      <c r="J3" s="10"/>
      <c r="K3" s="10"/>
      <c r="L3" s="10">
        <v>4</v>
      </c>
      <c r="M3" s="10">
        <v>4</v>
      </c>
    </row>
    <row r="4" spans="1:13" x14ac:dyDescent="0.35">
      <c r="A4" s="74" t="s">
        <v>321</v>
      </c>
      <c r="C4" s="10" t="s">
        <v>112</v>
      </c>
      <c r="D4" s="10">
        <v>21</v>
      </c>
      <c r="F4" s="10" t="s">
        <v>113</v>
      </c>
      <c r="G4" s="10">
        <v>22</v>
      </c>
      <c r="I4" s="10" t="s">
        <v>112</v>
      </c>
      <c r="J4" s="10"/>
      <c r="K4" s="10"/>
      <c r="L4" s="10">
        <v>3</v>
      </c>
      <c r="M4" s="10">
        <v>3</v>
      </c>
    </row>
    <row r="5" spans="1:13" x14ac:dyDescent="0.35">
      <c r="A5" s="74" t="s">
        <v>322</v>
      </c>
      <c r="C5" s="10" t="s">
        <v>117</v>
      </c>
      <c r="D5" s="10">
        <v>17</v>
      </c>
      <c r="F5" s="10" t="s">
        <v>116</v>
      </c>
      <c r="G5" s="10">
        <v>2</v>
      </c>
      <c r="I5" s="10" t="s">
        <v>117</v>
      </c>
      <c r="J5" s="10"/>
      <c r="K5" s="10">
        <v>1</v>
      </c>
      <c r="L5" s="10">
        <v>3</v>
      </c>
      <c r="M5" s="10">
        <v>4</v>
      </c>
    </row>
    <row r="6" spans="1:13" ht="43.5" x14ac:dyDescent="0.35">
      <c r="A6" s="74" t="s">
        <v>323</v>
      </c>
      <c r="C6" s="10" t="s">
        <v>41</v>
      </c>
      <c r="D6" s="10">
        <v>15</v>
      </c>
      <c r="F6" s="10" t="s">
        <v>118</v>
      </c>
      <c r="G6" s="10">
        <v>17</v>
      </c>
      <c r="I6" s="10" t="s">
        <v>41</v>
      </c>
      <c r="J6" s="10">
        <v>3</v>
      </c>
      <c r="K6" s="10"/>
      <c r="L6" s="10">
        <v>5</v>
      </c>
      <c r="M6" s="10">
        <v>8</v>
      </c>
    </row>
    <row r="7" spans="1:13" ht="29" x14ac:dyDescent="0.35">
      <c r="A7" s="74" t="s">
        <v>324</v>
      </c>
      <c r="C7" s="10" t="s">
        <v>122</v>
      </c>
      <c r="D7" s="10">
        <v>1</v>
      </c>
      <c r="F7" s="10" t="s">
        <v>120</v>
      </c>
      <c r="G7" s="10">
        <v>18</v>
      </c>
      <c r="I7" s="10" t="s">
        <v>44</v>
      </c>
      <c r="J7" s="10">
        <v>2</v>
      </c>
      <c r="K7" s="10">
        <v>1</v>
      </c>
      <c r="L7" s="10">
        <v>2</v>
      </c>
      <c r="M7" s="10">
        <v>5</v>
      </c>
    </row>
    <row r="8" spans="1:13" x14ac:dyDescent="0.35">
      <c r="A8" s="74" t="s">
        <v>325</v>
      </c>
      <c r="C8" s="10" t="s">
        <v>44</v>
      </c>
      <c r="D8" s="10">
        <v>10</v>
      </c>
      <c r="F8" s="10" t="s">
        <v>121</v>
      </c>
      <c r="G8" s="10">
        <v>10</v>
      </c>
      <c r="I8" s="10" t="s">
        <v>48</v>
      </c>
      <c r="J8" s="10"/>
      <c r="K8" s="10"/>
      <c r="L8" s="10">
        <v>1</v>
      </c>
      <c r="M8" s="10">
        <v>1</v>
      </c>
    </row>
    <row r="9" spans="1:13" ht="29" x14ac:dyDescent="0.35">
      <c r="A9" s="74" t="s">
        <v>326</v>
      </c>
      <c r="C9" s="10" t="s">
        <v>48</v>
      </c>
      <c r="D9" s="10">
        <v>1</v>
      </c>
      <c r="F9" s="10" t="s">
        <v>123</v>
      </c>
      <c r="G9" s="10">
        <v>1</v>
      </c>
      <c r="I9" s="53" t="s">
        <v>51</v>
      </c>
      <c r="J9" s="53">
        <v>5</v>
      </c>
      <c r="K9" s="53">
        <v>2</v>
      </c>
      <c r="L9" s="53">
        <v>18</v>
      </c>
      <c r="M9" s="53">
        <v>25</v>
      </c>
    </row>
    <row r="10" spans="1:13" x14ac:dyDescent="0.35">
      <c r="A10" s="74" t="s">
        <v>327</v>
      </c>
      <c r="C10" s="53" t="s">
        <v>51</v>
      </c>
      <c r="D10" s="53">
        <v>80</v>
      </c>
      <c r="F10" s="53" t="s">
        <v>51</v>
      </c>
      <c r="G10" s="53">
        <v>80</v>
      </c>
    </row>
    <row r="11" spans="1:13" x14ac:dyDescent="0.35">
      <c r="A11" s="74" t="s">
        <v>330</v>
      </c>
    </row>
    <row r="12" spans="1:13" ht="29" x14ac:dyDescent="0.35">
      <c r="A12" s="74" t="s">
        <v>328</v>
      </c>
    </row>
    <row r="13" spans="1:13" x14ac:dyDescent="0.35">
      <c r="A13" s="74" t="s">
        <v>329</v>
      </c>
    </row>
    <row r="14" spans="1:13" ht="43.5" x14ac:dyDescent="0.35">
      <c r="A14" s="74" t="s">
        <v>334</v>
      </c>
      <c r="C14" s="65" t="s">
        <v>127</v>
      </c>
      <c r="D14" s="65" t="s">
        <v>246</v>
      </c>
      <c r="F14" s="55" t="s">
        <v>233</v>
      </c>
      <c r="G14" s="10">
        <v>92</v>
      </c>
      <c r="I14" s="69" t="s">
        <v>143</v>
      </c>
      <c r="J14" s="69" t="s">
        <v>144</v>
      </c>
      <c r="K14" s="69" t="s">
        <v>145</v>
      </c>
      <c r="L14" s="69" t="s">
        <v>256</v>
      </c>
    </row>
    <row r="15" spans="1:13" ht="29" x14ac:dyDescent="0.35">
      <c r="A15" s="74" t="s">
        <v>331</v>
      </c>
      <c r="C15" s="10" t="s">
        <v>86</v>
      </c>
      <c r="D15" s="10">
        <v>7</v>
      </c>
      <c r="F15" s="55" t="s">
        <v>235</v>
      </c>
      <c r="G15" s="10">
        <v>53</v>
      </c>
      <c r="I15" s="32" t="s">
        <v>147</v>
      </c>
      <c r="J15" s="64">
        <v>14585</v>
      </c>
      <c r="K15" s="64">
        <v>12538</v>
      </c>
      <c r="L15" s="64">
        <v>27123</v>
      </c>
    </row>
    <row r="16" spans="1:13" x14ac:dyDescent="0.35">
      <c r="A16" s="74" t="s">
        <v>332</v>
      </c>
      <c r="C16" s="10" t="s">
        <v>136</v>
      </c>
      <c r="D16" s="10">
        <v>2</v>
      </c>
      <c r="F16" s="55" t="s">
        <v>234</v>
      </c>
      <c r="G16" s="10">
        <v>100</v>
      </c>
      <c r="I16" s="32" t="s">
        <v>149</v>
      </c>
      <c r="J16" s="64">
        <v>63</v>
      </c>
      <c r="K16" s="64">
        <v>42</v>
      </c>
      <c r="L16" s="64">
        <v>105</v>
      </c>
    </row>
    <row r="17" spans="1:12" ht="29" x14ac:dyDescent="0.35">
      <c r="A17" s="74" t="s">
        <v>336</v>
      </c>
      <c r="C17" s="10" t="s">
        <v>137</v>
      </c>
      <c r="D17" s="10">
        <v>1</v>
      </c>
      <c r="I17" s="32" t="s">
        <v>151</v>
      </c>
      <c r="J17" s="64">
        <v>303</v>
      </c>
      <c r="K17" s="64">
        <v>145</v>
      </c>
      <c r="L17" s="64">
        <v>448</v>
      </c>
    </row>
    <row r="18" spans="1:12" x14ac:dyDescent="0.35">
      <c r="A18" s="9" t="s">
        <v>337</v>
      </c>
      <c r="C18" s="10" t="s">
        <v>131</v>
      </c>
      <c r="D18" s="10">
        <v>16</v>
      </c>
      <c r="I18" s="32" t="s">
        <v>153</v>
      </c>
      <c r="J18" s="64">
        <v>211</v>
      </c>
      <c r="K18" s="64">
        <v>108</v>
      </c>
      <c r="L18" s="64">
        <v>319</v>
      </c>
    </row>
    <row r="19" spans="1:12" x14ac:dyDescent="0.35">
      <c r="C19" s="10" t="s">
        <v>138</v>
      </c>
      <c r="D19" s="10">
        <v>2</v>
      </c>
      <c r="I19" s="32" t="s">
        <v>155</v>
      </c>
      <c r="J19" s="64">
        <v>208</v>
      </c>
      <c r="K19" s="64">
        <v>107</v>
      </c>
      <c r="L19" s="64">
        <v>315</v>
      </c>
    </row>
    <row r="20" spans="1:12" x14ac:dyDescent="0.35">
      <c r="C20" s="10" t="s">
        <v>139</v>
      </c>
      <c r="D20" s="10">
        <v>2</v>
      </c>
      <c r="I20" s="1" t="s">
        <v>260</v>
      </c>
    </row>
    <row r="21" spans="1:12" x14ac:dyDescent="0.35">
      <c r="C21" s="10" t="s">
        <v>140</v>
      </c>
      <c r="D21" s="10">
        <v>25</v>
      </c>
      <c r="I21" s="1" t="s">
        <v>261</v>
      </c>
    </row>
    <row r="22" spans="1:12" x14ac:dyDescent="0.35">
      <c r="C22" s="53" t="s">
        <v>51</v>
      </c>
      <c r="D22" s="53">
        <v>55</v>
      </c>
      <c r="I22" s="1" t="s">
        <v>262</v>
      </c>
    </row>
    <row r="23" spans="1:12" x14ac:dyDescent="0.35">
      <c r="I23" s="1" t="s">
        <v>263</v>
      </c>
    </row>
    <row r="25" spans="1:12" x14ac:dyDescent="0.35">
      <c r="C25" s="65" t="s">
        <v>317</v>
      </c>
      <c r="D25" s="65" t="s">
        <v>27</v>
      </c>
      <c r="F25" s="65" t="s">
        <v>318</v>
      </c>
      <c r="G25" s="65" t="s">
        <v>27</v>
      </c>
    </row>
    <row r="26" spans="1:12" x14ac:dyDescent="0.35">
      <c r="C26" s="54" t="s">
        <v>136</v>
      </c>
      <c r="D26" s="54">
        <v>1</v>
      </c>
      <c r="F26" s="10" t="s">
        <v>109</v>
      </c>
      <c r="G26" s="10">
        <v>1</v>
      </c>
    </row>
    <row r="27" spans="1:12" x14ac:dyDescent="0.35">
      <c r="C27" s="55" t="s">
        <v>251</v>
      </c>
      <c r="D27" s="10">
        <v>1</v>
      </c>
      <c r="F27" s="10" t="s">
        <v>114</v>
      </c>
      <c r="G27" s="10">
        <v>2</v>
      </c>
    </row>
    <row r="28" spans="1:12" x14ac:dyDescent="0.35">
      <c r="C28" s="54" t="s">
        <v>137</v>
      </c>
      <c r="D28" s="54">
        <v>1</v>
      </c>
      <c r="F28" s="10" t="s">
        <v>31</v>
      </c>
      <c r="G28" s="10">
        <v>1</v>
      </c>
    </row>
    <row r="29" spans="1:12" x14ac:dyDescent="0.35">
      <c r="C29" s="55" t="s">
        <v>154</v>
      </c>
      <c r="D29" s="10">
        <v>1</v>
      </c>
      <c r="F29" s="10" t="s">
        <v>36</v>
      </c>
      <c r="G29" s="10">
        <v>1</v>
      </c>
    </row>
    <row r="30" spans="1:12" x14ac:dyDescent="0.35">
      <c r="C30" s="54" t="s">
        <v>131</v>
      </c>
      <c r="D30" s="54">
        <v>2</v>
      </c>
      <c r="F30" s="10" t="s">
        <v>35</v>
      </c>
      <c r="G30" s="10">
        <v>1</v>
      </c>
    </row>
    <row r="31" spans="1:12" x14ac:dyDescent="0.35">
      <c r="C31" s="55" t="s">
        <v>150</v>
      </c>
      <c r="D31" s="10">
        <v>1</v>
      </c>
      <c r="F31" s="10" t="s">
        <v>124</v>
      </c>
      <c r="G31" s="10">
        <v>2</v>
      </c>
    </row>
    <row r="32" spans="1:12" x14ac:dyDescent="0.35">
      <c r="C32" s="55" t="s">
        <v>157</v>
      </c>
      <c r="D32" s="10">
        <v>1</v>
      </c>
      <c r="F32" s="10" t="s">
        <v>125</v>
      </c>
      <c r="G32" s="10">
        <v>2</v>
      </c>
    </row>
    <row r="33" spans="3:7" x14ac:dyDescent="0.35">
      <c r="C33" s="54" t="s">
        <v>140</v>
      </c>
      <c r="D33" s="54">
        <v>12</v>
      </c>
      <c r="F33" s="10" t="s">
        <v>176</v>
      </c>
      <c r="G33" s="10">
        <v>2</v>
      </c>
    </row>
    <row r="34" spans="3:7" x14ac:dyDescent="0.35">
      <c r="C34" s="55" t="s">
        <v>148</v>
      </c>
      <c r="D34" s="10">
        <v>4</v>
      </c>
      <c r="F34" s="10" t="s">
        <v>39</v>
      </c>
      <c r="G34" s="10">
        <v>9</v>
      </c>
    </row>
    <row r="35" spans="3:7" x14ac:dyDescent="0.35">
      <c r="C35" s="55" t="s">
        <v>150</v>
      </c>
      <c r="D35" s="10">
        <v>1</v>
      </c>
      <c r="F35" s="10" t="s">
        <v>255</v>
      </c>
      <c r="G35" s="10">
        <v>1</v>
      </c>
    </row>
    <row r="36" spans="3:7" x14ac:dyDescent="0.35">
      <c r="C36" s="55" t="s">
        <v>229</v>
      </c>
      <c r="D36" s="10">
        <v>1</v>
      </c>
      <c r="F36" s="10" t="s">
        <v>178</v>
      </c>
      <c r="G36" s="10">
        <v>3</v>
      </c>
    </row>
    <row r="37" spans="3:7" x14ac:dyDescent="0.35">
      <c r="C37" s="55" t="s">
        <v>212</v>
      </c>
      <c r="D37" s="10">
        <v>1</v>
      </c>
      <c r="F37" s="10" t="s">
        <v>46</v>
      </c>
      <c r="G37" s="10">
        <v>4</v>
      </c>
    </row>
    <row r="38" spans="3:7" x14ac:dyDescent="0.35">
      <c r="C38" s="55" t="s">
        <v>252</v>
      </c>
      <c r="D38" s="10">
        <v>1</v>
      </c>
      <c r="F38" s="10" t="s">
        <v>42</v>
      </c>
      <c r="G38" s="10">
        <v>5</v>
      </c>
    </row>
    <row r="39" spans="3:7" x14ac:dyDescent="0.35">
      <c r="C39" s="55" t="s">
        <v>253</v>
      </c>
      <c r="D39" s="10">
        <v>1</v>
      </c>
      <c r="F39" s="10" t="s">
        <v>45</v>
      </c>
      <c r="G39" s="10">
        <v>5</v>
      </c>
    </row>
    <row r="40" spans="3:7" x14ac:dyDescent="0.35">
      <c r="C40" s="55" t="s">
        <v>254</v>
      </c>
      <c r="D40" s="10">
        <v>1</v>
      </c>
      <c r="F40" s="10" t="s">
        <v>130</v>
      </c>
      <c r="G40" s="10">
        <v>4</v>
      </c>
    </row>
    <row r="41" spans="3:7" x14ac:dyDescent="0.35">
      <c r="C41" s="55" t="s">
        <v>315</v>
      </c>
      <c r="D41" s="10">
        <v>1</v>
      </c>
      <c r="F41" s="10" t="s">
        <v>49</v>
      </c>
      <c r="G41" s="10">
        <v>12</v>
      </c>
    </row>
    <row r="42" spans="3:7" x14ac:dyDescent="0.35">
      <c r="C42" s="55" t="s">
        <v>316</v>
      </c>
      <c r="D42" s="10">
        <v>1</v>
      </c>
      <c r="F42" s="53" t="s">
        <v>51</v>
      </c>
      <c r="G42" s="53">
        <v>55</v>
      </c>
    </row>
    <row r="43" spans="3:7" x14ac:dyDescent="0.35">
      <c r="C43" s="53" t="s">
        <v>51</v>
      </c>
      <c r="D43" s="53">
        <v>16</v>
      </c>
    </row>
    <row r="46" spans="3:7" x14ac:dyDescent="0.35">
      <c r="C46" s="1" t="s">
        <v>319</v>
      </c>
    </row>
    <row r="47" spans="3:7" x14ac:dyDescent="0.35">
      <c r="C47" s="70" t="s">
        <v>320</v>
      </c>
      <c r="D47" s="70" t="s">
        <v>27</v>
      </c>
    </row>
    <row r="48" spans="3:7" x14ac:dyDescent="0.35">
      <c r="C48" s="54" t="s">
        <v>169</v>
      </c>
      <c r="D48" s="76">
        <v>2</v>
      </c>
    </row>
    <row r="49" spans="3:4" x14ac:dyDescent="0.35">
      <c r="C49" s="55" t="s">
        <v>36</v>
      </c>
      <c r="D49" s="9">
        <v>1</v>
      </c>
    </row>
    <row r="50" spans="3:4" x14ac:dyDescent="0.35">
      <c r="C50" s="55" t="s">
        <v>49</v>
      </c>
      <c r="D50" s="9">
        <v>1</v>
      </c>
    </row>
    <row r="51" spans="3:4" x14ac:dyDescent="0.35">
      <c r="C51" s="54" t="s">
        <v>237</v>
      </c>
      <c r="D51" s="76">
        <v>1</v>
      </c>
    </row>
    <row r="52" spans="3:4" x14ac:dyDescent="0.35">
      <c r="C52" s="55" t="s">
        <v>36</v>
      </c>
      <c r="D52" s="9">
        <v>1</v>
      </c>
    </row>
    <row r="53" spans="3:4" x14ac:dyDescent="0.35">
      <c r="C53" s="54" t="s">
        <v>175</v>
      </c>
      <c r="D53" s="76">
        <v>1</v>
      </c>
    </row>
    <row r="54" spans="3:4" x14ac:dyDescent="0.35">
      <c r="C54" s="55" t="s">
        <v>176</v>
      </c>
      <c r="D54" s="9">
        <v>1</v>
      </c>
    </row>
    <row r="55" spans="3:4" x14ac:dyDescent="0.35">
      <c r="C55" s="53" t="s">
        <v>51</v>
      </c>
      <c r="D55" s="75">
        <v>4</v>
      </c>
    </row>
  </sheetData>
  <hyperlinks>
    <hyperlink ref="A5" r:id="rId1" display="21@% of the open reqs are with Engineering team" xr:uid="{F8289E20-B9DC-4F3E-AC7C-B5B95635268A}"/>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BDB43-36B0-41F8-8852-FC51F0AD739E}">
  <dimension ref="A1:N76"/>
  <sheetViews>
    <sheetView topLeftCell="A54" workbookViewId="0">
      <selection activeCell="D68" sqref="D68"/>
    </sheetView>
  </sheetViews>
  <sheetFormatPr defaultRowHeight="14.5" x14ac:dyDescent="0.35"/>
  <cols>
    <col min="1" max="1" width="40.7265625" style="1" customWidth="1"/>
    <col min="2" max="2" width="7.26953125" style="1" bestFit="1" customWidth="1"/>
    <col min="3" max="3" width="6.26953125" style="1" bestFit="1" customWidth="1"/>
    <col min="4" max="4" width="50.08984375" style="1" bestFit="1" customWidth="1"/>
    <col min="5" max="5" width="9.81640625" style="1" bestFit="1" customWidth="1"/>
    <col min="6" max="6" width="8.7265625" style="1"/>
    <col min="7" max="7" width="48.08984375" style="1" bestFit="1" customWidth="1"/>
    <col min="8" max="9" width="8.7265625" style="1"/>
    <col min="10" max="10" width="24.81640625" style="1" bestFit="1" customWidth="1"/>
    <col min="11" max="16384" width="8.7265625" style="1"/>
  </cols>
  <sheetData>
    <row r="1" spans="1:11" x14ac:dyDescent="0.35">
      <c r="A1" s="67" t="s">
        <v>225</v>
      </c>
    </row>
    <row r="2" spans="1:11" ht="58" x14ac:dyDescent="0.35">
      <c r="A2" s="74" t="s">
        <v>356</v>
      </c>
      <c r="D2" s="65" t="s">
        <v>57</v>
      </c>
      <c r="E2" s="65" t="s">
        <v>27</v>
      </c>
      <c r="G2" s="65" t="s">
        <v>339</v>
      </c>
      <c r="H2" s="65" t="s">
        <v>27</v>
      </c>
      <c r="J2" s="70" t="s">
        <v>340</v>
      </c>
      <c r="K2" s="70" t="s">
        <v>27</v>
      </c>
    </row>
    <row r="3" spans="1:11" ht="37" customHeight="1" x14ac:dyDescent="0.35">
      <c r="A3" s="74" t="s">
        <v>357</v>
      </c>
      <c r="D3" s="10" t="s">
        <v>38</v>
      </c>
      <c r="E3" s="10">
        <v>13</v>
      </c>
      <c r="G3" s="10" t="s">
        <v>108</v>
      </c>
      <c r="H3" s="10">
        <v>5</v>
      </c>
      <c r="J3" s="54" t="s">
        <v>110</v>
      </c>
      <c r="K3" s="76">
        <v>3</v>
      </c>
    </row>
    <row r="4" spans="1:11" ht="29" x14ac:dyDescent="0.35">
      <c r="A4" s="74" t="s">
        <v>394</v>
      </c>
      <c r="D4" s="10" t="s">
        <v>338</v>
      </c>
      <c r="E4" s="10">
        <v>1</v>
      </c>
      <c r="G4" s="10" t="s">
        <v>110</v>
      </c>
      <c r="H4" s="10">
        <v>3</v>
      </c>
      <c r="J4" s="55" t="s">
        <v>41</v>
      </c>
      <c r="K4" s="9">
        <v>2</v>
      </c>
    </row>
    <row r="5" spans="1:11" ht="38" customHeight="1" x14ac:dyDescent="0.35">
      <c r="A5" s="74" t="s">
        <v>358</v>
      </c>
      <c r="D5" s="10" t="s">
        <v>112</v>
      </c>
      <c r="E5" s="10">
        <v>17</v>
      </c>
      <c r="G5" s="10" t="s">
        <v>113</v>
      </c>
      <c r="H5" s="10">
        <v>30</v>
      </c>
      <c r="J5" s="55" t="s">
        <v>44</v>
      </c>
      <c r="K5" s="9">
        <v>1</v>
      </c>
    </row>
    <row r="6" spans="1:11" ht="43.5" x14ac:dyDescent="0.35">
      <c r="A6" s="74" t="s">
        <v>359</v>
      </c>
      <c r="D6" s="10" t="s">
        <v>117</v>
      </c>
      <c r="E6" s="10">
        <v>11</v>
      </c>
      <c r="G6" s="10" t="s">
        <v>118</v>
      </c>
      <c r="H6" s="10">
        <v>4</v>
      </c>
      <c r="J6" s="54" t="s">
        <v>120</v>
      </c>
      <c r="K6" s="76">
        <v>10</v>
      </c>
    </row>
    <row r="7" spans="1:11" ht="58" x14ac:dyDescent="0.35">
      <c r="A7" s="74" t="s">
        <v>360</v>
      </c>
      <c r="D7" s="10" t="s">
        <v>41</v>
      </c>
      <c r="E7" s="10">
        <v>12</v>
      </c>
      <c r="G7" s="10" t="s">
        <v>120</v>
      </c>
      <c r="H7" s="10">
        <v>10</v>
      </c>
      <c r="J7" s="55" t="s">
        <v>38</v>
      </c>
      <c r="K7" s="9">
        <v>4</v>
      </c>
    </row>
    <row r="8" spans="1:11" ht="87" x14ac:dyDescent="0.35">
      <c r="A8" s="74" t="s">
        <v>361</v>
      </c>
      <c r="D8" s="10" t="s">
        <v>44</v>
      </c>
      <c r="E8" s="10">
        <v>9</v>
      </c>
      <c r="G8" s="10" t="s">
        <v>121</v>
      </c>
      <c r="H8" s="10">
        <v>10</v>
      </c>
      <c r="J8" s="55" t="s">
        <v>112</v>
      </c>
      <c r="K8" s="9">
        <v>2</v>
      </c>
    </row>
    <row r="9" spans="1:11" ht="29" x14ac:dyDescent="0.35">
      <c r="A9" s="74" t="s">
        <v>362</v>
      </c>
      <c r="D9" s="53" t="s">
        <v>51</v>
      </c>
      <c r="E9" s="53">
        <v>63</v>
      </c>
      <c r="G9" s="10" t="s">
        <v>123</v>
      </c>
      <c r="H9" s="10">
        <v>1</v>
      </c>
      <c r="J9" s="55" t="s">
        <v>117</v>
      </c>
      <c r="K9" s="9">
        <v>2</v>
      </c>
    </row>
    <row r="10" spans="1:11" ht="29" x14ac:dyDescent="0.35">
      <c r="A10" s="74" t="s">
        <v>363</v>
      </c>
      <c r="G10" s="53" t="s">
        <v>51</v>
      </c>
      <c r="H10" s="53">
        <v>63</v>
      </c>
      <c r="J10" s="55" t="s">
        <v>41</v>
      </c>
      <c r="K10" s="9">
        <v>1</v>
      </c>
    </row>
    <row r="11" spans="1:11" ht="43.5" x14ac:dyDescent="0.35">
      <c r="A11" s="74" t="s">
        <v>364</v>
      </c>
      <c r="J11" s="55" t="s">
        <v>44</v>
      </c>
      <c r="K11" s="9">
        <v>1</v>
      </c>
    </row>
    <row r="12" spans="1:11" ht="43.5" x14ac:dyDescent="0.35">
      <c r="A12" s="74" t="s">
        <v>365</v>
      </c>
      <c r="J12" s="53" t="s">
        <v>51</v>
      </c>
      <c r="K12" s="75">
        <v>13</v>
      </c>
    </row>
    <row r="13" spans="1:11" ht="43.5" x14ac:dyDescent="0.35">
      <c r="A13" s="74" t="s">
        <v>366</v>
      </c>
      <c r="D13" s="52" t="s">
        <v>127</v>
      </c>
      <c r="E13" s="52" t="s">
        <v>27</v>
      </c>
      <c r="G13" s="65" t="s">
        <v>57</v>
      </c>
      <c r="H13" s="65" t="s">
        <v>27</v>
      </c>
    </row>
    <row r="14" spans="1:11" x14ac:dyDescent="0.35">
      <c r="A14" s="9" t="s">
        <v>395</v>
      </c>
      <c r="D14" s="10" t="s">
        <v>138</v>
      </c>
      <c r="E14" s="10">
        <v>4</v>
      </c>
      <c r="G14" s="10" t="s">
        <v>114</v>
      </c>
      <c r="H14" s="10">
        <v>3</v>
      </c>
    </row>
    <row r="15" spans="1:11" x14ac:dyDescent="0.35">
      <c r="A15" s="9" t="s">
        <v>396</v>
      </c>
      <c r="D15" s="10" t="s">
        <v>139</v>
      </c>
      <c r="E15" s="10">
        <v>3</v>
      </c>
      <c r="G15" s="10" t="s">
        <v>341</v>
      </c>
      <c r="H15" s="10">
        <v>2</v>
      </c>
    </row>
    <row r="16" spans="1:11" x14ac:dyDescent="0.35">
      <c r="A16" s="9" t="s">
        <v>397</v>
      </c>
      <c r="D16" s="10" t="s">
        <v>140</v>
      </c>
      <c r="E16" s="10">
        <v>21</v>
      </c>
      <c r="G16" s="10" t="s">
        <v>31</v>
      </c>
      <c r="H16" s="10">
        <v>1</v>
      </c>
    </row>
    <row r="17" spans="1:14" ht="24.5" customHeight="1" x14ac:dyDescent="0.35">
      <c r="A17" s="9" t="s">
        <v>398</v>
      </c>
      <c r="D17" s="10" t="s">
        <v>80</v>
      </c>
      <c r="E17" s="10">
        <v>1</v>
      </c>
      <c r="G17" s="10" t="s">
        <v>36</v>
      </c>
      <c r="H17" s="10">
        <v>4</v>
      </c>
      <c r="J17" s="90" t="s">
        <v>143</v>
      </c>
      <c r="K17" s="90" t="s">
        <v>144</v>
      </c>
      <c r="L17" s="90" t="s">
        <v>145</v>
      </c>
      <c r="M17" s="90" t="s">
        <v>355</v>
      </c>
      <c r="N17" s="90" t="s">
        <v>256</v>
      </c>
    </row>
    <row r="18" spans="1:14" x14ac:dyDescent="0.35">
      <c r="A18" s="1" t="s">
        <v>399</v>
      </c>
      <c r="D18" s="53" t="s">
        <v>51</v>
      </c>
      <c r="E18" s="53">
        <v>63</v>
      </c>
      <c r="G18" s="10" t="s">
        <v>35</v>
      </c>
      <c r="H18" s="10">
        <v>2</v>
      </c>
      <c r="J18" s="32" t="s">
        <v>147</v>
      </c>
      <c r="K18" s="64">
        <v>14947</v>
      </c>
      <c r="L18" s="64">
        <v>15755</v>
      </c>
      <c r="M18" s="64">
        <v>6323</v>
      </c>
      <c r="N18" s="64">
        <v>37025</v>
      </c>
    </row>
    <row r="19" spans="1:14" ht="29" x14ac:dyDescent="0.35">
      <c r="A19" s="1" t="s">
        <v>400</v>
      </c>
      <c r="G19" s="10" t="s">
        <v>342</v>
      </c>
      <c r="H19" s="10">
        <v>1</v>
      </c>
      <c r="J19" s="32" t="s">
        <v>149</v>
      </c>
      <c r="K19" s="64">
        <v>64</v>
      </c>
      <c r="L19" s="64">
        <v>44</v>
      </c>
      <c r="M19" s="64">
        <v>20</v>
      </c>
      <c r="N19" s="64">
        <v>128</v>
      </c>
    </row>
    <row r="20" spans="1:14" ht="29" x14ac:dyDescent="0.35">
      <c r="D20" s="65" t="s">
        <v>346</v>
      </c>
      <c r="E20" s="65" t="s">
        <v>27</v>
      </c>
      <c r="G20" s="10" t="s">
        <v>124</v>
      </c>
      <c r="H20" s="10">
        <v>4</v>
      </c>
      <c r="J20" s="32" t="s">
        <v>151</v>
      </c>
      <c r="K20" s="64">
        <v>305</v>
      </c>
      <c r="L20" s="64">
        <v>216</v>
      </c>
      <c r="M20" s="64">
        <v>45</v>
      </c>
      <c r="N20" s="64">
        <v>566</v>
      </c>
    </row>
    <row r="21" spans="1:14" x14ac:dyDescent="0.35">
      <c r="D21" s="10" t="s">
        <v>148</v>
      </c>
      <c r="E21" s="10">
        <v>4</v>
      </c>
      <c r="G21" s="10" t="s">
        <v>125</v>
      </c>
      <c r="H21" s="10">
        <v>1</v>
      </c>
      <c r="J21" s="32" t="s">
        <v>153</v>
      </c>
      <c r="K21" s="64">
        <v>213</v>
      </c>
      <c r="L21" s="64">
        <v>154</v>
      </c>
      <c r="M21" s="64">
        <v>28</v>
      </c>
      <c r="N21" s="64">
        <v>395</v>
      </c>
    </row>
    <row r="22" spans="1:14" x14ac:dyDescent="0.35">
      <c r="D22" s="10" t="s">
        <v>344</v>
      </c>
      <c r="E22" s="10">
        <v>1</v>
      </c>
      <c r="G22" s="10" t="s">
        <v>176</v>
      </c>
      <c r="H22" s="10">
        <v>3</v>
      </c>
      <c r="J22" s="32" t="s">
        <v>155</v>
      </c>
      <c r="K22" s="64">
        <v>209</v>
      </c>
      <c r="L22" s="64">
        <v>156</v>
      </c>
      <c r="M22" s="64">
        <v>27</v>
      </c>
      <c r="N22" s="64">
        <v>392</v>
      </c>
    </row>
    <row r="23" spans="1:14" x14ac:dyDescent="0.35">
      <c r="D23" s="10" t="s">
        <v>345</v>
      </c>
      <c r="E23" s="10">
        <v>1</v>
      </c>
      <c r="G23" s="10" t="s">
        <v>39</v>
      </c>
      <c r="H23" s="10">
        <v>8</v>
      </c>
    </row>
    <row r="24" spans="1:14" x14ac:dyDescent="0.35">
      <c r="D24" s="10" t="s">
        <v>251</v>
      </c>
      <c r="E24" s="10">
        <v>2</v>
      </c>
      <c r="G24" s="10" t="s">
        <v>343</v>
      </c>
      <c r="H24" s="10">
        <v>3</v>
      </c>
    </row>
    <row r="25" spans="1:14" x14ac:dyDescent="0.35">
      <c r="D25" s="10" t="s">
        <v>252</v>
      </c>
      <c r="E25" s="10">
        <v>1</v>
      </c>
      <c r="G25" s="10" t="s">
        <v>178</v>
      </c>
      <c r="H25" s="10">
        <v>1</v>
      </c>
    </row>
    <row r="26" spans="1:14" x14ac:dyDescent="0.35">
      <c r="D26" s="10" t="s">
        <v>253</v>
      </c>
      <c r="E26" s="10">
        <v>1</v>
      </c>
      <c r="G26" s="10" t="s">
        <v>46</v>
      </c>
      <c r="H26" s="10">
        <v>2</v>
      </c>
    </row>
    <row r="27" spans="1:14" x14ac:dyDescent="0.35">
      <c r="D27" s="10" t="s">
        <v>254</v>
      </c>
      <c r="E27" s="10">
        <v>1</v>
      </c>
      <c r="G27" s="10" t="s">
        <v>42</v>
      </c>
      <c r="H27" s="10">
        <v>3</v>
      </c>
    </row>
    <row r="28" spans="1:14" x14ac:dyDescent="0.35">
      <c r="D28" s="10" t="s">
        <v>315</v>
      </c>
      <c r="E28" s="10">
        <v>1</v>
      </c>
      <c r="G28" s="10" t="s">
        <v>45</v>
      </c>
      <c r="H28" s="10">
        <v>8</v>
      </c>
    </row>
    <row r="29" spans="1:14" x14ac:dyDescent="0.35">
      <c r="D29" s="10" t="s">
        <v>316</v>
      </c>
      <c r="E29" s="10">
        <v>1</v>
      </c>
      <c r="G29" s="10" t="s">
        <v>130</v>
      </c>
      <c r="H29" s="10">
        <v>4</v>
      </c>
    </row>
    <row r="30" spans="1:14" x14ac:dyDescent="0.35">
      <c r="D30" s="10" t="s">
        <v>347</v>
      </c>
      <c r="E30" s="10">
        <v>1</v>
      </c>
      <c r="G30" s="10" t="s">
        <v>49</v>
      </c>
      <c r="H30" s="10">
        <v>13</v>
      </c>
    </row>
    <row r="31" spans="1:14" x14ac:dyDescent="0.35">
      <c r="D31" s="53" t="s">
        <v>51</v>
      </c>
      <c r="E31" s="53">
        <v>14</v>
      </c>
      <c r="G31" s="53" t="s">
        <v>51</v>
      </c>
      <c r="H31" s="53">
        <v>63</v>
      </c>
    </row>
    <row r="33" spans="4:8" x14ac:dyDescent="0.35">
      <c r="D33" s="26" t="s">
        <v>127</v>
      </c>
      <c r="E33" s="26" t="s">
        <v>27</v>
      </c>
      <c r="G33" s="10" t="s">
        <v>233</v>
      </c>
      <c r="H33" s="10">
        <v>124</v>
      </c>
    </row>
    <row r="34" spans="4:8" x14ac:dyDescent="0.35">
      <c r="D34" s="10" t="s">
        <v>348</v>
      </c>
      <c r="E34" s="10">
        <v>11</v>
      </c>
      <c r="G34" s="10" t="s">
        <v>131</v>
      </c>
      <c r="H34" s="10">
        <v>64</v>
      </c>
    </row>
    <row r="35" spans="4:8" x14ac:dyDescent="0.35">
      <c r="D35" s="10" t="s">
        <v>131</v>
      </c>
      <c r="E35" s="10">
        <v>1</v>
      </c>
      <c r="G35" s="10" t="s">
        <v>86</v>
      </c>
      <c r="H35" s="10">
        <v>5</v>
      </c>
    </row>
    <row r="36" spans="4:8" x14ac:dyDescent="0.35">
      <c r="D36" s="10" t="s">
        <v>349</v>
      </c>
      <c r="E36" s="10">
        <v>1</v>
      </c>
      <c r="G36" s="10" t="s">
        <v>348</v>
      </c>
      <c r="H36" s="10">
        <v>43</v>
      </c>
    </row>
    <row r="37" spans="4:8" x14ac:dyDescent="0.35">
      <c r="D37" s="10" t="s">
        <v>80</v>
      </c>
      <c r="E37" s="10">
        <v>1</v>
      </c>
      <c r="G37" s="10" t="s">
        <v>138</v>
      </c>
      <c r="H37" s="10">
        <v>7</v>
      </c>
    </row>
    <row r="38" spans="4:8" x14ac:dyDescent="0.35">
      <c r="G38" s="10" t="s">
        <v>137</v>
      </c>
      <c r="H38" s="10">
        <v>1</v>
      </c>
    </row>
    <row r="39" spans="4:8" x14ac:dyDescent="0.35">
      <c r="G39" s="10" t="s">
        <v>230</v>
      </c>
      <c r="H39" s="10">
        <v>1</v>
      </c>
    </row>
    <row r="40" spans="4:8" x14ac:dyDescent="0.35">
      <c r="G40" s="10" t="s">
        <v>136</v>
      </c>
      <c r="H40" s="10">
        <v>3</v>
      </c>
    </row>
    <row r="41" spans="4:8" x14ac:dyDescent="0.35">
      <c r="D41" s="52" t="s">
        <v>210</v>
      </c>
      <c r="E41" s="52"/>
      <c r="G41" s="10" t="s">
        <v>350</v>
      </c>
      <c r="H41" s="9" t="s">
        <v>352</v>
      </c>
    </row>
    <row r="42" spans="4:8" x14ac:dyDescent="0.35">
      <c r="D42" s="10" t="s">
        <v>57</v>
      </c>
      <c r="E42" s="10" t="s">
        <v>27</v>
      </c>
      <c r="G42" s="10" t="s">
        <v>351</v>
      </c>
      <c r="H42" s="9" t="s">
        <v>353</v>
      </c>
    </row>
    <row r="43" spans="4:8" x14ac:dyDescent="0.35">
      <c r="D43" s="10" t="s">
        <v>354</v>
      </c>
      <c r="E43" s="10">
        <v>1</v>
      </c>
    </row>
    <row r="44" spans="4:8" x14ac:dyDescent="0.35">
      <c r="D44" s="55" t="s">
        <v>175</v>
      </c>
      <c r="E44" s="10">
        <v>1</v>
      </c>
    </row>
    <row r="45" spans="4:8" x14ac:dyDescent="0.35">
      <c r="D45" s="10" t="s">
        <v>39</v>
      </c>
      <c r="E45" s="10">
        <v>3</v>
      </c>
    </row>
    <row r="46" spans="4:8" x14ac:dyDescent="0.35">
      <c r="D46" s="55" t="s">
        <v>169</v>
      </c>
      <c r="E46" s="10">
        <v>2</v>
      </c>
    </row>
    <row r="47" spans="4:8" x14ac:dyDescent="0.35">
      <c r="D47" s="55" t="s">
        <v>177</v>
      </c>
      <c r="E47" s="10">
        <v>1</v>
      </c>
    </row>
    <row r="48" spans="4:8" x14ac:dyDescent="0.35">
      <c r="D48" s="10" t="s">
        <v>178</v>
      </c>
      <c r="E48" s="10">
        <v>1</v>
      </c>
    </row>
    <row r="49" spans="1:5" x14ac:dyDescent="0.35">
      <c r="D49" s="55" t="s">
        <v>169</v>
      </c>
      <c r="E49" s="10">
        <v>1</v>
      </c>
    </row>
    <row r="50" spans="1:5" x14ac:dyDescent="0.35">
      <c r="D50" s="10" t="s">
        <v>46</v>
      </c>
      <c r="E50" s="10">
        <v>1</v>
      </c>
    </row>
    <row r="51" spans="1:5" x14ac:dyDescent="0.35">
      <c r="D51" s="55" t="s">
        <v>175</v>
      </c>
      <c r="E51" s="10">
        <v>1</v>
      </c>
    </row>
    <row r="52" spans="1:5" x14ac:dyDescent="0.35">
      <c r="D52" s="10" t="s">
        <v>51</v>
      </c>
      <c r="E52" s="10">
        <v>6</v>
      </c>
    </row>
    <row r="55" spans="1:5" x14ac:dyDescent="0.35">
      <c r="A55" s="78" t="s">
        <v>367</v>
      </c>
      <c r="B55" s="9"/>
      <c r="C55" s="9"/>
    </row>
    <row r="56" spans="1:5" x14ac:dyDescent="0.35">
      <c r="A56" s="77" t="s">
        <v>368</v>
      </c>
      <c r="B56" s="79" t="s">
        <v>369</v>
      </c>
      <c r="C56" s="79" t="s">
        <v>370</v>
      </c>
      <c r="D56" s="79" t="s">
        <v>371</v>
      </c>
      <c r="E56" s="79" t="s">
        <v>372</v>
      </c>
    </row>
    <row r="57" spans="1:5" x14ac:dyDescent="0.35">
      <c r="A57" s="9" t="s">
        <v>373</v>
      </c>
      <c r="B57" s="80">
        <v>63</v>
      </c>
      <c r="C57" s="80">
        <v>80</v>
      </c>
      <c r="D57" s="81">
        <v>-17</v>
      </c>
      <c r="E57" s="82" t="s">
        <v>374</v>
      </c>
    </row>
    <row r="58" spans="1:5" x14ac:dyDescent="0.35">
      <c r="A58" s="9" t="s">
        <v>375</v>
      </c>
      <c r="B58" s="80">
        <v>14</v>
      </c>
      <c r="C58" s="80">
        <v>16</v>
      </c>
      <c r="D58" s="81">
        <v>-2</v>
      </c>
      <c r="E58" s="82" t="s">
        <v>374</v>
      </c>
    </row>
    <row r="59" spans="1:5" x14ac:dyDescent="0.35">
      <c r="A59" s="9" t="s">
        <v>376</v>
      </c>
      <c r="B59" s="80">
        <v>3</v>
      </c>
      <c r="C59" s="80">
        <v>4</v>
      </c>
      <c r="D59" s="83">
        <v>-1</v>
      </c>
      <c r="E59" s="82" t="s">
        <v>374</v>
      </c>
    </row>
    <row r="60" spans="1:5" x14ac:dyDescent="0.35">
      <c r="A60" s="9" t="s">
        <v>378</v>
      </c>
      <c r="B60" s="80">
        <v>124</v>
      </c>
      <c r="C60" s="80">
        <v>92</v>
      </c>
      <c r="D60" s="83">
        <v>32</v>
      </c>
      <c r="E60" s="84" t="s">
        <v>377</v>
      </c>
    </row>
    <row r="61" spans="1:5" x14ac:dyDescent="0.35">
      <c r="A61" s="9" t="s">
        <v>379</v>
      </c>
      <c r="B61" s="85">
        <v>53</v>
      </c>
      <c r="C61" s="85">
        <v>53</v>
      </c>
      <c r="D61" s="86">
        <v>0</v>
      </c>
      <c r="E61" s="79" t="s">
        <v>380</v>
      </c>
    </row>
    <row r="62" spans="1:5" x14ac:dyDescent="0.35">
      <c r="A62" s="9" t="s">
        <v>381</v>
      </c>
      <c r="B62" s="85">
        <v>96</v>
      </c>
      <c r="C62" s="85">
        <v>100</v>
      </c>
      <c r="D62" s="87">
        <v>-4</v>
      </c>
      <c r="E62" s="88" t="s">
        <v>382</v>
      </c>
    </row>
    <row r="63" spans="1:5" x14ac:dyDescent="0.35">
      <c r="A63" s="9" t="s">
        <v>383</v>
      </c>
      <c r="B63" s="80">
        <v>37025</v>
      </c>
      <c r="C63" s="80">
        <v>27123</v>
      </c>
      <c r="D63" s="83">
        <v>9902</v>
      </c>
      <c r="E63" s="84" t="s">
        <v>377</v>
      </c>
    </row>
    <row r="64" spans="1:5" x14ac:dyDescent="0.35">
      <c r="A64" s="9" t="s">
        <v>384</v>
      </c>
      <c r="B64" s="80">
        <v>694</v>
      </c>
      <c r="C64" s="80">
        <v>553</v>
      </c>
      <c r="D64" s="87">
        <v>141</v>
      </c>
      <c r="E64" s="88" t="s">
        <v>377</v>
      </c>
    </row>
    <row r="65" spans="1:5" x14ac:dyDescent="0.35">
      <c r="A65" s="9" t="s">
        <v>385</v>
      </c>
      <c r="B65" s="80">
        <v>395</v>
      </c>
      <c r="C65" s="80">
        <v>319</v>
      </c>
      <c r="D65" s="83">
        <v>76</v>
      </c>
      <c r="E65" s="84" t="s">
        <v>377</v>
      </c>
    </row>
    <row r="66" spans="1:5" x14ac:dyDescent="0.35">
      <c r="A66" s="9" t="s">
        <v>386</v>
      </c>
      <c r="B66" s="80">
        <v>392</v>
      </c>
      <c r="C66" s="80">
        <v>315</v>
      </c>
      <c r="D66" s="83">
        <v>77</v>
      </c>
      <c r="E66" s="84" t="s">
        <v>377</v>
      </c>
    </row>
    <row r="68" spans="1:5" x14ac:dyDescent="0.35">
      <c r="A68" s="89" t="s">
        <v>387</v>
      </c>
    </row>
    <row r="69" spans="1:5" x14ac:dyDescent="0.35">
      <c r="A69" s="1" t="s">
        <v>388</v>
      </c>
    </row>
    <row r="70" spans="1:5" x14ac:dyDescent="0.35">
      <c r="A70" s="1" t="s">
        <v>389</v>
      </c>
    </row>
    <row r="71" spans="1:5" x14ac:dyDescent="0.35">
      <c r="A71" s="1" t="s">
        <v>390</v>
      </c>
    </row>
    <row r="72" spans="1:5" x14ac:dyDescent="0.35">
      <c r="A72" s="1" t="s">
        <v>391</v>
      </c>
    </row>
    <row r="73" spans="1:5" x14ac:dyDescent="0.35">
      <c r="A73" s="1" t="s">
        <v>392</v>
      </c>
    </row>
    <row r="74" spans="1:5" x14ac:dyDescent="0.35">
      <c r="A74" s="1" t="s">
        <v>393</v>
      </c>
    </row>
    <row r="76" spans="1:5" x14ac:dyDescent="0.35">
      <c r="A76" s="89" t="s">
        <v>225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60AC0-9640-48C8-9E89-90E44A6D25E9}">
  <dimension ref="A1:K15"/>
  <sheetViews>
    <sheetView showGridLines="0" tabSelected="1" topLeftCell="A3" workbookViewId="0">
      <selection activeCell="A18" sqref="A18"/>
    </sheetView>
  </sheetViews>
  <sheetFormatPr defaultRowHeight="14.5" x14ac:dyDescent="0.35"/>
  <cols>
    <col min="1" max="1" width="99" bestFit="1" customWidth="1"/>
    <col min="2" max="2" width="9.81640625" bestFit="1" customWidth="1"/>
    <col min="3" max="3" width="22.453125" bestFit="1" customWidth="1"/>
    <col min="4" max="4" width="19.08984375" bestFit="1" customWidth="1"/>
    <col min="5" max="5" width="6.1796875" bestFit="1" customWidth="1"/>
    <col min="6" max="6" width="11.90625" bestFit="1" customWidth="1"/>
    <col min="7" max="7" width="9.81640625" bestFit="1" customWidth="1"/>
    <col min="8" max="8" width="66.1796875" bestFit="1" customWidth="1"/>
    <col min="10" max="10" width="27.26953125" bestFit="1" customWidth="1"/>
    <col min="11" max="11" width="18.36328125" bestFit="1" customWidth="1"/>
  </cols>
  <sheetData>
    <row r="1" spans="1:11" ht="19" thickBot="1" x14ac:dyDescent="0.5">
      <c r="A1" s="106" t="s">
        <v>401</v>
      </c>
      <c r="B1" s="96"/>
      <c r="C1" s="96"/>
      <c r="D1" s="96"/>
      <c r="E1" s="96"/>
      <c r="F1" s="96"/>
      <c r="G1" s="96"/>
      <c r="H1" s="96"/>
      <c r="I1" s="96"/>
      <c r="J1" s="96"/>
      <c r="K1" s="101"/>
    </row>
    <row r="2" spans="1:11" ht="15.5" thickTop="1" thickBot="1" x14ac:dyDescent="0.4">
      <c r="A2" s="99" t="s">
        <v>402</v>
      </c>
      <c r="B2" s="97" t="s">
        <v>246</v>
      </c>
      <c r="C2" s="97" t="s">
        <v>403</v>
      </c>
      <c r="D2" s="97" t="s">
        <v>404</v>
      </c>
      <c r="E2" s="97" t="s">
        <v>405</v>
      </c>
      <c r="F2" s="97" t="s">
        <v>235</v>
      </c>
      <c r="G2" s="97" t="s">
        <v>234</v>
      </c>
      <c r="H2" s="97" t="s">
        <v>406</v>
      </c>
      <c r="I2" s="97"/>
      <c r="J2" s="105" t="s">
        <v>421</v>
      </c>
      <c r="K2" s="102"/>
    </row>
    <row r="3" spans="1:11" ht="15" thickTop="1" x14ac:dyDescent="0.35">
      <c r="A3" s="99" t="s">
        <v>407</v>
      </c>
      <c r="B3" s="97">
        <v>66</v>
      </c>
      <c r="C3" s="97">
        <v>26</v>
      </c>
      <c r="D3" s="97">
        <v>26</v>
      </c>
      <c r="E3" s="97">
        <v>17</v>
      </c>
      <c r="F3" s="97">
        <v>58</v>
      </c>
      <c r="G3" s="97">
        <v>129</v>
      </c>
      <c r="H3" s="97" t="s">
        <v>414</v>
      </c>
      <c r="I3" s="97"/>
      <c r="J3" s="97" t="s">
        <v>422</v>
      </c>
      <c r="K3" s="102" t="str">
        <f>INDEX(A3:A9,MATCH(MAX(B3:B9),B3:B9,0))</f>
        <v>Nov 25th to Dec 10th</v>
      </c>
    </row>
    <row r="4" spans="1:11" x14ac:dyDescent="0.35">
      <c r="A4" s="99" t="s">
        <v>408</v>
      </c>
      <c r="B4" s="97">
        <v>90</v>
      </c>
      <c r="C4" s="97">
        <v>90</v>
      </c>
      <c r="D4" s="97">
        <v>31</v>
      </c>
      <c r="E4" s="97">
        <v>36</v>
      </c>
      <c r="F4" s="97">
        <v>52</v>
      </c>
      <c r="G4" s="104">
        <v>102</v>
      </c>
      <c r="H4" s="97" t="s">
        <v>415</v>
      </c>
      <c r="I4" s="97"/>
      <c r="J4" s="97" t="s">
        <v>423</v>
      </c>
      <c r="K4" s="102">
        <f>B9</f>
        <v>63</v>
      </c>
    </row>
    <row r="5" spans="1:11" x14ac:dyDescent="0.35">
      <c r="A5" s="99" t="s">
        <v>409</v>
      </c>
      <c r="B5" s="104">
        <v>78</v>
      </c>
      <c r="C5" s="97">
        <v>78</v>
      </c>
      <c r="D5" s="104">
        <v>18</v>
      </c>
      <c r="E5" s="97">
        <v>70</v>
      </c>
      <c r="F5" s="97">
        <v>49</v>
      </c>
      <c r="G5" s="97">
        <v>105</v>
      </c>
      <c r="H5" s="97" t="s">
        <v>416</v>
      </c>
      <c r="I5" s="97"/>
      <c r="J5" s="97" t="s">
        <v>424</v>
      </c>
      <c r="K5" s="102">
        <f>E9</f>
        <v>124</v>
      </c>
    </row>
    <row r="6" spans="1:11" x14ac:dyDescent="0.35">
      <c r="A6" s="99" t="s">
        <v>410</v>
      </c>
      <c r="B6" s="104">
        <v>74</v>
      </c>
      <c r="C6" s="97">
        <v>74</v>
      </c>
      <c r="D6" s="104">
        <v>17</v>
      </c>
      <c r="E6" s="97">
        <v>72</v>
      </c>
      <c r="F6" s="97">
        <v>49</v>
      </c>
      <c r="G6" s="104">
        <v>101</v>
      </c>
      <c r="H6" s="97" t="s">
        <v>417</v>
      </c>
      <c r="I6" s="97"/>
      <c r="J6" s="97" t="s">
        <v>425</v>
      </c>
      <c r="K6" s="102">
        <f>MIN(F3:F9)</f>
        <v>49</v>
      </c>
    </row>
    <row r="7" spans="1:11" x14ac:dyDescent="0.35">
      <c r="A7" s="99" t="s">
        <v>411</v>
      </c>
      <c r="B7" s="97">
        <v>80</v>
      </c>
      <c r="C7" s="97">
        <v>80</v>
      </c>
      <c r="D7" s="97">
        <v>25</v>
      </c>
      <c r="E7" s="97">
        <v>92</v>
      </c>
      <c r="F7" s="104">
        <v>53</v>
      </c>
      <c r="G7" s="104">
        <v>100</v>
      </c>
      <c r="H7" s="97" t="s">
        <v>418</v>
      </c>
      <c r="I7" s="97"/>
      <c r="J7" s="97" t="s">
        <v>426</v>
      </c>
      <c r="K7" s="102">
        <f>MIN(G3:G9)</f>
        <v>96</v>
      </c>
    </row>
    <row r="8" spans="1:11" x14ac:dyDescent="0.35">
      <c r="A8" s="99" t="s">
        <v>412</v>
      </c>
      <c r="B8" s="97">
        <v>80</v>
      </c>
      <c r="C8" s="97">
        <v>80</v>
      </c>
      <c r="D8" s="97">
        <v>25</v>
      </c>
      <c r="E8" s="97">
        <v>92</v>
      </c>
      <c r="F8" s="104">
        <v>53</v>
      </c>
      <c r="G8" s="104">
        <v>100</v>
      </c>
      <c r="H8" s="97" t="s">
        <v>419</v>
      </c>
      <c r="I8" s="97"/>
      <c r="J8" s="97" t="s">
        <v>427</v>
      </c>
      <c r="K8" s="102">
        <f>MAX(D3:D9)</f>
        <v>31</v>
      </c>
    </row>
    <row r="9" spans="1:11" x14ac:dyDescent="0.35">
      <c r="A9" s="99" t="s">
        <v>413</v>
      </c>
      <c r="B9" s="104">
        <v>63</v>
      </c>
      <c r="C9" s="97">
        <v>63</v>
      </c>
      <c r="D9" s="104">
        <v>13</v>
      </c>
      <c r="E9" s="97">
        <v>124</v>
      </c>
      <c r="F9" s="104">
        <v>53</v>
      </c>
      <c r="G9" s="104">
        <v>96</v>
      </c>
      <c r="H9" s="97" t="s">
        <v>420</v>
      </c>
      <c r="I9" s="97"/>
      <c r="J9" s="97"/>
      <c r="K9" s="102"/>
    </row>
    <row r="10" spans="1:11" ht="15" thickBot="1" x14ac:dyDescent="0.4">
      <c r="A10" s="99"/>
      <c r="B10" s="97"/>
      <c r="C10" s="97"/>
      <c r="D10" s="97"/>
      <c r="E10" s="97"/>
      <c r="F10" s="97"/>
      <c r="G10" s="97"/>
      <c r="H10" s="97"/>
      <c r="I10" s="97"/>
      <c r="J10" s="105" t="s">
        <v>428</v>
      </c>
      <c r="K10" s="102"/>
    </row>
    <row r="11" spans="1:11" ht="15.5" thickTop="1" thickBot="1" x14ac:dyDescent="0.4">
      <c r="A11" s="107" t="s">
        <v>387</v>
      </c>
      <c r="B11" s="97"/>
      <c r="C11" s="97"/>
      <c r="D11" s="97"/>
      <c r="E11" s="97"/>
      <c r="F11" s="97"/>
      <c r="G11" s="97"/>
      <c r="H11" s="97"/>
      <c r="I11" s="97"/>
      <c r="J11" s="97" t="s">
        <v>429</v>
      </c>
      <c r="K11" s="102">
        <f>B9-B8</f>
        <v>-17</v>
      </c>
    </row>
    <row r="12" spans="1:11" ht="15" thickTop="1" x14ac:dyDescent="0.35">
      <c r="A12" s="99" t="s">
        <v>432</v>
      </c>
      <c r="B12" s="97"/>
      <c r="C12" s="97"/>
      <c r="D12" s="97"/>
      <c r="E12" s="97"/>
      <c r="F12" s="97"/>
      <c r="G12" s="97"/>
      <c r="H12" s="97"/>
      <c r="I12" s="97"/>
      <c r="J12" s="97" t="s">
        <v>430</v>
      </c>
      <c r="K12" s="102">
        <f>D9-D8</f>
        <v>-12</v>
      </c>
    </row>
    <row r="13" spans="1:11" x14ac:dyDescent="0.35">
      <c r="A13" s="99" t="e" cm="1">
        <f t="array" ref="A13">- Identified / offer-ready pool improved early, then weakened materially in the latest snapshot, signaling thinner near-term conversion coverage.</f>
        <v>#NAME?</v>
      </c>
      <c r="B13" s="97"/>
      <c r="C13" s="97"/>
      <c r="D13" s="97"/>
      <c r="E13" s="97"/>
      <c r="F13" s="97"/>
      <c r="G13" s="97"/>
      <c r="H13" s="97"/>
      <c r="I13" s="97"/>
      <c r="J13" s="97" t="s">
        <v>431</v>
      </c>
      <c r="K13" s="102">
        <f>G9-G3</f>
        <v>-33</v>
      </c>
    </row>
    <row r="14" spans="1:11" x14ac:dyDescent="0.35">
      <c r="A14" s="99" t="s">
        <v>433</v>
      </c>
      <c r="B14" s="97"/>
      <c r="C14" s="97"/>
      <c r="D14" s="97"/>
      <c r="E14" s="97"/>
      <c r="F14" s="97"/>
      <c r="G14" s="97"/>
      <c r="H14" s="97"/>
      <c r="I14" s="97"/>
      <c r="J14" s="97"/>
      <c r="K14" s="102"/>
    </row>
    <row r="15" spans="1:11" x14ac:dyDescent="0.35">
      <c r="A15" s="100" t="s">
        <v>434</v>
      </c>
      <c r="B15" s="98"/>
      <c r="C15" s="98"/>
      <c r="D15" s="98"/>
      <c r="E15" s="98"/>
      <c r="F15" s="98"/>
      <c r="G15" s="98"/>
      <c r="H15" s="98"/>
      <c r="I15" s="98"/>
      <c r="J15" s="98"/>
      <c r="K15" s="103"/>
    </row>
  </sheetData>
  <pageMargins left="0.7" right="0.7" top="0.75" bottom="0.75" header="0.3" footer="0.3"/>
</worksheet>
</file>

<file path=docMetadata/LabelInfo.xml><?xml version="1.0" encoding="utf-8"?>
<clbl:labelList xmlns:clbl="http://schemas.microsoft.com/office/2020/mipLabelMetadata">
  <clbl:label id="{1d0481ec-7190-4821-a24f-03ea10e99dd8}" enabled="1" method="Standard" siteId="{83030971-88c6-461e-8552-c8ee9d60e0b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Recruiter Productivity</vt:lpstr>
      <vt:lpstr>Nov 10th to Nov 25</vt:lpstr>
      <vt:lpstr>Nov 25th to Dec 10th</vt:lpstr>
      <vt:lpstr>Dec 10th to 6th Jan 2026</vt:lpstr>
      <vt:lpstr>Dec 10th to Jan 13th</vt:lpstr>
      <vt:lpstr>Jan 13th to Feb 12th</vt:lpstr>
      <vt:lpstr>Jan 13th to 19th Feb</vt:lpstr>
      <vt:lpstr>Feb 19th to 25th March</vt:lpstr>
      <vt:lpstr>Executive 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Rangaraj, Yogeshwari</cp:lastModifiedBy>
  <cp:revision/>
  <dcterms:created xsi:type="dcterms:W3CDTF">2025-11-12T02:37:42Z</dcterms:created>
  <dcterms:modified xsi:type="dcterms:W3CDTF">2026-03-25T11:56:09Z</dcterms:modified>
  <cp:category/>
  <cp:contentStatus/>
</cp:coreProperties>
</file>